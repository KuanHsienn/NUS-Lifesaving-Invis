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Event List" sheetId="1" r:id="rId1"/>
  </sheets>
  <calcPr calcId="124519" fullCalcOnLoad="1"/>
</workbook>
</file>

<file path=xl/sharedStrings.xml><?xml version="1.0" encoding="utf-8"?>
<sst xmlns="http://schemas.openxmlformats.org/spreadsheetml/2006/main" count="3765" uniqueCount="717">
  <si>
    <t>S/N</t>
  </si>
  <si>
    <t>Event Name</t>
  </si>
  <si>
    <t>Event Code</t>
  </si>
  <si>
    <t>Heat No.</t>
  </si>
  <si>
    <t>Lane No.</t>
  </si>
  <si>
    <t>Competitor Name</t>
  </si>
  <si>
    <t>Team</t>
  </si>
  <si>
    <t>Div</t>
  </si>
  <si>
    <t>Competitor No.</t>
  </si>
  <si>
    <t>Timing 1</t>
  </si>
  <si>
    <t>Timing 2</t>
  </si>
  <si>
    <t>Timing 3</t>
  </si>
  <si>
    <t>Final Timing</t>
  </si>
  <si>
    <t>Final Backend Timing</t>
  </si>
  <si>
    <t>Position</t>
  </si>
  <si>
    <t>Points</t>
  </si>
  <si>
    <t>Verified</t>
  </si>
  <si>
    <t>WOMEN 200M OBSTACLE SWIM RACE (INDIVIDUAL)</t>
  </si>
  <si>
    <t>MEN 200M OBSTACLE SWIM RACE (INDIVIDUAL)</t>
  </si>
  <si>
    <t>WOMEN 4X50M OBSTACLE SWIM RACE RELAY</t>
  </si>
  <si>
    <t>MEN 4X50M OBSTACLE SWIM RACE RELAY</t>
  </si>
  <si>
    <t>WOMEN 50M MANIKIN CARRY (INDIVIDUAL)</t>
  </si>
  <si>
    <t>MEN 50M MANIKIN CARRY (INDIVIDUAL)</t>
  </si>
  <si>
    <t>WOMEN 100M MANIKIN CARRY WITH FINS (INDIVIDUAL)</t>
  </si>
  <si>
    <t>MEN 100M MANIKIN CARRY WITH FINS (INDIVIDUAL)</t>
  </si>
  <si>
    <t>WOMEN 4X25M MANIKIN RELAY</t>
  </si>
  <si>
    <t>MEN 4X25 MANIKIN RELAY</t>
  </si>
  <si>
    <t>WOMEN 12.5M ROPE THROW</t>
  </si>
  <si>
    <t>MEN 12.5M ROPE THROW</t>
  </si>
  <si>
    <t>WOMEN 100M RESCUE MEDLEY (INDIVIDUAL)</t>
  </si>
  <si>
    <t>MEN 100M RESCUE MEDLEY (INDIVIDUAL)</t>
  </si>
  <si>
    <t>WOMEN 4X50M MEDLEY RELAY</t>
  </si>
  <si>
    <t>MEN 4X50M MEDLEY RELAY</t>
  </si>
  <si>
    <t>WOMEN 100M MANIKIN LIFESAVER MEDLEY (INDIVIDUAL)</t>
  </si>
  <si>
    <t>MEN 100M MANIKIN LIFESAVER MEDLEY (INDIVIDUAL)</t>
  </si>
  <si>
    <t>WOMEN 200M SUPER LIFESAVER (INDIVIDUAL)</t>
  </si>
  <si>
    <t>MEN 200M SUPER LIFESAVER (INDIVIDUAL)</t>
  </si>
  <si>
    <t>WOMEN 100M MANIKIN TOW WITH TORPEDO TUBE AND FINS (INDIVIDUAL)</t>
  </si>
  <si>
    <t>MEN 100M MANIKIN TOW WITH TORPEDO TUBE &amp; FINS (INDIVIDUAL)</t>
  </si>
  <si>
    <t>MIXED POOL LIFESAVER RELAY</t>
  </si>
  <si>
    <t>SIMULATED EMERGENCY RESPONSE COMPETITION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</si>
  <si>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</si>
  <si>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</si>
  <si>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</si>
  <si>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</si>
  <si>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</si>
  <si>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</si>
  <si>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</si>
  <si>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</si>
  <si>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</si>
  <si>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</si>
  <si>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</si>
  <si>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</si>
  <si>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</si>
  <si>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</si>
  <si>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</si>
  <si>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</si>
  <si>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</si>
  <si>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</si>
  <si>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</si>
  <si>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</si>
  <si>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</si>
  <si>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</si>
  <si>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</si>
  <si>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</si>
  <si>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H1</t>
  </si>
  <si>
    <t>H2</t>
  </si>
  <si>
    <t>H3</t>
  </si>
  <si>
    <t>H4</t>
  </si>
  <si>
    <t>H5</t>
  </si>
  <si>
    <t>H6</t>
  </si>
  <si>
    <t>1</t>
  </si>
  <si>
    <t>2</t>
  </si>
  <si>
    <t>3</t>
  </si>
  <si>
    <t>4</t>
  </si>
  <si>
    <t>5</t>
  </si>
  <si>
    <t>6</t>
  </si>
  <si>
    <t>7</t>
  </si>
  <si>
    <t>8</t>
  </si>
  <si>
    <t>0</t>
  </si>
  <si>
    <t>9</t>
  </si>
  <si>
    <t>SUM JESS-LYNN</t>
  </si>
  <si>
    <t>NGAN XIN YI</t>
  </si>
  <si>
    <t>SEOWOO PARK</t>
  </si>
  <si>
    <t>YANG, RUI-QI</t>
  </si>
  <si>
    <t>EMMA GWYNETH TAY JIAXIN</t>
  </si>
  <si>
    <t>TANG GAO HANG</t>
  </si>
  <si>
    <t>LIAN YU XIN NATASHA</t>
  </si>
  <si>
    <t>TEOH KAI YUAN</t>
  </si>
  <si>
    <t>CHANG LIN XUAN TRISHA</t>
  </si>
  <si>
    <t>VANESSA ONG</t>
  </si>
  <si>
    <t>SUMMER MOK LE ER</t>
  </si>
  <si>
    <t>WEE HONG HUI</t>
  </si>
  <si>
    <t>KING YEE CHEUNG</t>
  </si>
  <si>
    <t>VALERIE LIM LI TING</t>
  </si>
  <si>
    <t>NEO HUI XUAN KELYN</t>
  </si>
  <si>
    <t>NG JIA CONG KENNETH</t>
  </si>
  <si>
    <t>TONG JIA XIAN</t>
  </si>
  <si>
    <t>PHILIP ALEXANDER HEIKO GRAUL</t>
  </si>
  <si>
    <t>AIDAN TAN</t>
  </si>
  <si>
    <t>SAMUEL LAU EE BIN</t>
  </si>
  <si>
    <t>CAI XIN XIANG</t>
  </si>
  <si>
    <t>FARALL CHUA YUN JUN</t>
  </si>
  <si>
    <t>NELSON KON NIAN ZU</t>
  </si>
  <si>
    <t>NG YU FENG DYLAN</t>
  </si>
  <si>
    <t>LEE, CHUNG-HAO</t>
  </si>
  <si>
    <t>TAN JUN MING</t>
  </si>
  <si>
    <t>ANDRE ALEXANDRE CHIA</t>
  </si>
  <si>
    <t>TAN JIA SHENG SHAUN</t>
  </si>
  <si>
    <t>CHONG CHEE HAN</t>
  </si>
  <si>
    <t>ISAAZ NG WEI LONG</t>
  </si>
  <si>
    <t>ANTON YEO WEN XUAN</t>
  </si>
  <si>
    <t>DARRELL LAI WEI AN</t>
  </si>
  <si>
    <t>ARAGORN KWA JIEKANG</t>
  </si>
  <si>
    <t>CHEONG TZE YAN RYAN</t>
  </si>
  <si>
    <t>NEO JUN YAN BRANDON</t>
  </si>
  <si>
    <t>ARI ZULHAKIM BIN MOHAMED AZMAN</t>
  </si>
  <si>
    <t>SUM JESS-LYNN / ONG MIN JEE / NG SIEW TING / WU SZU YU</t>
  </si>
  <si>
    <t>NG YU-EN FAYTH FLORA / NGAN XIN YI / NADIA LEONG YINING / LAUDIANO TRINITY LOUISE TOLENTINO</t>
  </si>
  <si>
    <t>WANG, KAI-CHI / WU, YI-HSIEN / YANG, RUI-QI / CHANG, CHIUAN-JEN</t>
  </si>
  <si>
    <t>SEOWOO PARK / WEE HONG HUA / NUHA KUNG / LEE JUN FONG JESSICA</t>
  </si>
  <si>
    <t>CLAIRE SZE WEI ROBERTS / EMMA GWYNETH TAY JIAXIN / TAN KE XIN JOLENE / NANDHINI THIAGARAJAN</t>
  </si>
  <si>
    <t>TWILA CHAN SZE HWI / TANG GAO HANG / TEH JIA  QI (ALLIE) / NICOLE LIM JING WEN</t>
  </si>
  <si>
    <t>ANGELINA WONG SHAN XUAN / BERNICE CHONG FANG YI / KANG KHIM TONG CHARMAINE / LIAN YU XIN NATASHA</t>
  </si>
  <si>
    <t>TEOH KAI YUAN / TAN JIA HUI / YEOW JIIN SHIN / TAN GAO JIE</t>
  </si>
  <si>
    <t>DANA YAM / JOCELIN YEO ZHI LING / MAY-ANNE CHEW / CHANG LIN XUAN TRISHA</t>
  </si>
  <si>
    <t>TAN JIE MIN / CHAN WAN QING EUNICE / WEE HONG HUI / GRACE CHAN KIT YEE</t>
  </si>
  <si>
    <t>JOEY CHIENG YI FAN / LIM EN QI / KING YEE CHEUNG / YIN XIN MIN</t>
  </si>
  <si>
    <t>TING HIU YING BERNICE / NEO HUI XUAN KELYN / NEO HUI ZHI JESLYN / SUMMER MOK LE ER</t>
  </si>
  <si>
    <t>SHEREEN WONG / KRYSANIA TAN / TEY HUEY MIN / SIM PEI SHAN</t>
  </si>
  <si>
    <t>PHYLLIS CHEH KE LI / VANESSA ONG / JAMIE ANG HUI HSIEN / LIM SI JIN</t>
  </si>
  <si>
    <t>VALERIE TANG YAN TONG / GAN YEE LENG / ASHLEY TAN JIE YU / ASWINI JACOB</t>
  </si>
  <si>
    <t>FRANCIS HANS NAPAY CASTILLO / JOSHUA DEVAN SENTHIL KUMAR / WONG QI YUAN / NG JIA CONG KENNETH</t>
  </si>
  <si>
    <t>DOUGLAS TAN ZHENG YU / AARON FOONG ZHANGHERN / JAYDEN TEO ZHEN XI / TONG JIA XIAN</t>
  </si>
  <si>
    <t>TU, WEI-CHIA / TSAI,CHAO-YU / CHAO, WEI-CHIH / PHILIP ALEXANDER HEIKO GRAUL</t>
  </si>
  <si>
    <t>VERNON LIM JUN WEI / REMUS LEE HO WAI / CAI XIN XIANG / COLIN ONG</t>
  </si>
  <si>
    <t>XAVIER ANG YU DING / SAMUEL LAU EE BIN / TAN CHENG AN JACOB / WANG RUOYU</t>
  </si>
  <si>
    <t>AIDAN TAN / RICHIE CHEE / SNG BOON JUN / MUHAMMAD AFIQ MOHAMED ARIFFIN</t>
  </si>
  <si>
    <t>ONG CHUA LING / KWA KENDRICK / FARALL CHUA YUN JUN / CHUA YU ZHOU</t>
  </si>
  <si>
    <t>TEOH KAI XIANG / WAN HUNG JIE / OOI YONG QIN / CHAN XIANG ZHAO</t>
  </si>
  <si>
    <t>GOH YAN ZHOU / GOH ZHONG JUN DILLON / ANDRE ALEXANDRE CHIA / JADON CHIA YI QI</t>
  </si>
  <si>
    <t>TAN JIA SHENG SHAUN / CHONG CHEE HAN / POH SZE WHYE / ONG CHEN KUAN</t>
  </si>
  <si>
    <t>PAN YONG ZHI / PIERCE YEO / ISAAZ NG WEI LONG / JAVIER TEO BOON KIAT</t>
  </si>
  <si>
    <t>AFIQ HANIM / TAN ZHEN WEI / FAN KAR ZHOUN CLARENCE / NG YEE ZHER</t>
  </si>
  <si>
    <t>CHEONG TZE YAN RYAN / DENON CHONG CHENG ZONG / TOK WEI XIAN EUGENE / LUCAS CHEW MING EN</t>
  </si>
  <si>
    <t>NEO JUN YAN BRANDON / HO YONG CHIN / ARI ZULHAKIM BIN MOHAMED AZMAN / TAN JUN MING</t>
  </si>
  <si>
    <t>ARAGORN KWA JIEKANG / KOH JUN HAO GRIFFIN / BEK JUN BERVIN / QUAH YAN HUI</t>
  </si>
  <si>
    <t>ANTON YEO WEN XUAN / BRIAN TAN YONG JIE / DARREN CHIA HON YEE / RYAN LIM TAO YUAN</t>
  </si>
  <si>
    <t>LAU WAI KIT / POH JIN KIAT / DARRELL LAI WEI AN / NICKOLAI LAVRENTEV</t>
  </si>
  <si>
    <t>MUHAMMAD RAYYAN HAIDER BIN RAZIZY / NG YU FENG DYLAN / TAY WEI JIE JAYDON / WAYNE ONG</t>
  </si>
  <si>
    <t>TAN TIAN YI</t>
  </si>
  <si>
    <t>NADIA LEONG YINING</t>
  </si>
  <si>
    <t>LIN, WAN-TUNG</t>
  </si>
  <si>
    <t>WEE HONG HUA</t>
  </si>
  <si>
    <t>CLAIRE SZE WEI ROBERTS</t>
  </si>
  <si>
    <t>TWILA CHAN SZE HWI</t>
  </si>
  <si>
    <t>ANGELINA WONG SHAN XUAN</t>
  </si>
  <si>
    <t>WONG SOH KIM</t>
  </si>
  <si>
    <t>DANIELLE HUANG</t>
  </si>
  <si>
    <t>ASWINI JACOB</t>
  </si>
  <si>
    <t>DANA YAM</t>
  </si>
  <si>
    <t>JAMIE ANG HUI HSIEN</t>
  </si>
  <si>
    <t>WOO WAI KUAN MOIRA</t>
  </si>
  <si>
    <t>TING HIU YING BERNICE</t>
  </si>
  <si>
    <t>TEY HUEY MIN</t>
  </si>
  <si>
    <t>ASHLEY TAN JIE YU</t>
  </si>
  <si>
    <t>TOH RUEY JUN ELEANOR KARA</t>
  </si>
  <si>
    <t>CRYSTAL LEE ZEN YU</t>
  </si>
  <si>
    <t>FRANCIS HANS NAPAY CASTILLO</t>
  </si>
  <si>
    <t>JAYDEN TEO ZHEN XI</t>
  </si>
  <si>
    <t>CHAO, WEI-CHIH</t>
  </si>
  <si>
    <t>SNG BOON JUN</t>
  </si>
  <si>
    <t>XAVIER ANG YU DING</t>
  </si>
  <si>
    <t>VERNON LIM JUN WEI</t>
  </si>
  <si>
    <t>CHUA YU ZHOU</t>
  </si>
  <si>
    <t>TANG WEI ZHANG</t>
  </si>
  <si>
    <t>GOH YAN ZHOU</t>
  </si>
  <si>
    <t>KOH JUN HAO GRIFFIN</t>
  </si>
  <si>
    <t>POH JIN KIAT</t>
  </si>
  <si>
    <t>WAYNE ONG</t>
  </si>
  <si>
    <t>NG YEE ZHER</t>
  </si>
  <si>
    <t>EDDIE YONG HOCK LIN</t>
  </si>
  <si>
    <t>RYAN LIM TAO YUAN</t>
  </si>
  <si>
    <t>PIERCE YEO</t>
  </si>
  <si>
    <t>ONG MIN JEE</t>
  </si>
  <si>
    <t>ZHUO JIA XUAN</t>
  </si>
  <si>
    <t>WU, YI-HSIEN</t>
  </si>
  <si>
    <t>GAN YEE LENG</t>
  </si>
  <si>
    <t>TEH JIA  QI (ALLIE)</t>
  </si>
  <si>
    <t>SNG SHI MIN CHERMAINE</t>
  </si>
  <si>
    <t>FAITH NATALIE GOH EN RUI</t>
  </si>
  <si>
    <t>KRYSANIA TAN</t>
  </si>
  <si>
    <t>MAY-ANNE CHEW</t>
  </si>
  <si>
    <t>NEO HUI ZHI JESLYN</t>
  </si>
  <si>
    <t>EILEEN PNG YI LIN</t>
  </si>
  <si>
    <t>JOSHUA DEVAN SENTHIL KUMAR</t>
  </si>
  <si>
    <t>AARON FOONG ZHANGHERN</t>
  </si>
  <si>
    <t>TU, WEI-CHIA</t>
  </si>
  <si>
    <t>TAN PANG BOON</t>
  </si>
  <si>
    <t>ONG WEI ZHI</t>
  </si>
  <si>
    <t>CHEW BING HENG ELMER</t>
  </si>
  <si>
    <t>ONG CHUA LING</t>
  </si>
  <si>
    <t>JAVIER TEO BOON KIAT</t>
  </si>
  <si>
    <t>MUHAMMAD RAYYAN HAIDER BIN RAZIZY</t>
  </si>
  <si>
    <t>TAN ZHEN WEI</t>
  </si>
  <si>
    <t>SIM EN YU</t>
  </si>
  <si>
    <t>HUANG, YING-FANG</t>
  </si>
  <si>
    <t>LAU WAI KIT</t>
  </si>
  <si>
    <t>ANTOINE PAUL MARC MOULINIER</t>
  </si>
  <si>
    <t>LUCAS CHEW MING EN</t>
  </si>
  <si>
    <t>CHUA HAO EN</t>
  </si>
  <si>
    <t>SUM JESS-LYNN / TAN TIAN YI / ONG MIN JEE / NG SIEW TING</t>
  </si>
  <si>
    <t>NGAN XIN YI / NADIA LEONG YINING / ZHUO JIA XUAN / LAUDIANO TRINITY LOUISE TOLENTINO</t>
  </si>
  <si>
    <t>LIN, WAN-TUNG / WEN, CHIA-PING / WU, YI-HSIEN / YANG, RUI-QI</t>
  </si>
  <si>
    <t>CLAIRE SZE WEI ROBERTS / EMMA GWYNETH TAY JIAXIN / TAN YING-SHAN NICOLLE / SOH KAI TING</t>
  </si>
  <si>
    <t>BERNICE CHONG FANG YI / KANG KHIM TONG CHARMAINE / LIAN YU XIN NATASHA / SNG SHI MIN CHERMAINE</t>
  </si>
  <si>
    <t>WONG SOH KIM / YEOW JIIN SHIN / JOEY THEN RUI YU / TAN GAO JIE</t>
  </si>
  <si>
    <t>JOEY CHIENG YI FAN / LIM EN QI / CRYSTAL LEE ZEN YU / KING YEE CHEUNG</t>
  </si>
  <si>
    <t>TSAI, CHAO-YU / CHAO WEI-CHIH / PHILIP ALEXANDER HEIKO GRAUL / CHU PO-TING</t>
  </si>
  <si>
    <t>AIDAN TAN / TAN PANG BOON / RICHIE CHEE / SNG BOON JUN</t>
  </si>
  <si>
    <t>XAVIER ANG YU DING / SAMUEL LAU EE BIN / LAU WAI CHEONG SHAWN / ONG WEI ZHI</t>
  </si>
  <si>
    <t>CHEW BING HENG ELMER / VERNON LIM JUN WEI / REMUS LEE HO WAI / COLIN ONG</t>
  </si>
  <si>
    <t>CHUA KAR MENG JOEL / TOH WEIQING / WONG FU JIE / KOH CHEE LIN</t>
  </si>
  <si>
    <t>CHEONG TZE YAN RYAN / DENON CHONG CHENG ZONG / LUCAS CHEW MING EN / CHUA HAO EN</t>
  </si>
  <si>
    <t>NEO JUN YAN BRANDON / KEAGAN TAN GUAN YAN / ARI ZULHAKIM BIN MOHAMED AZMAN / TAN JUN MING</t>
  </si>
  <si>
    <t>LAU WAI KIT / POH JIN KIAT / CHAPIDDI VAMSI KRISHNA / DARRELL LAI WEI AN</t>
  </si>
  <si>
    <t>BRIAN TAN YONG JIE / SIM EN YU / DARREN CHIA HON YEE / RYAN LIM TAO YUAN</t>
  </si>
  <si>
    <t>ONG MIN JEE / NG SIEW TING</t>
  </si>
  <si>
    <t>NG YU-EN FAYTH FLORA / ZHUO JIA XUAN</t>
  </si>
  <si>
    <t>NGAN XIN YI / LAUDIANO TRINITY LOUISE TOLENTINO</t>
  </si>
  <si>
    <t>LIN, WAN-TUNG / CHANG, CHIUAN-JEN</t>
  </si>
  <si>
    <t>WANG, KAI-CHI / WU, YI-HSIEN</t>
  </si>
  <si>
    <t>SEOWOO PARK / LEE JUN FONG JESSICA</t>
  </si>
  <si>
    <t>TAN YING-SHAN NICOLLE / SOH KAI TING</t>
  </si>
  <si>
    <t>TAN KE XIN JOLENE / NANDHINI THIAGARAJAN</t>
  </si>
  <si>
    <t>ANGELINA WONG SHAN XUAN / SNG SHI MIN CHERMAINE</t>
  </si>
  <si>
    <t>KANG KHIM TONG CHARMAINE / LIAN YU XIN NATASHA</t>
  </si>
  <si>
    <t>TEOH KAI YUAN / WONG SOH KIM</t>
  </si>
  <si>
    <t>JOEY THEN RUI YU / TAN GAO JIE</t>
  </si>
  <si>
    <t>VALERIE TANG YAN TONG / GAN YEE LENG</t>
  </si>
  <si>
    <t>TEH JIA  QI (ALLIE) / TRIVIA QUAK OISHI</t>
  </si>
  <si>
    <t>TAN TIAN YI / WU SZU YU</t>
  </si>
  <si>
    <t>TWILA CHAN SZE HWI / TANG GAO HANG</t>
  </si>
  <si>
    <t>ASHLEY TAN JIE YU / ASWINI JACOB</t>
  </si>
  <si>
    <t>JOEY CHIENG YI FAN / YIN XIN MIN</t>
  </si>
  <si>
    <t>LIM EN QI / KING YEE CHEUNG</t>
  </si>
  <si>
    <t>TING HIU YING BERNICE / NEO HUI XUAN KELYN</t>
  </si>
  <si>
    <t>NEO HUI ZHI JESLYN / SUMMER MOK LE ER</t>
  </si>
  <si>
    <t>VALERIE LIM LI TING / TOH RUEY JUN ELEANOR KARA</t>
  </si>
  <si>
    <t>PHYLLIS CHEH KE LI / LIM SI JIN</t>
  </si>
  <si>
    <t>TAN JIA HUI / YEOW JIIN SHIN</t>
  </si>
  <si>
    <t>WOO WAI KUAN MOIRA / VENECIA LEOW WEI WEN</t>
  </si>
  <si>
    <t>TAN JIE MIN / CHAN WAN QING EUNICE</t>
  </si>
  <si>
    <t>SHEREEN WONG / KRYSANIA TAN</t>
  </si>
  <si>
    <t>TEY HUEY MIN / SIM PEI SHAN</t>
  </si>
  <si>
    <t>WEE HONG HUI / GRACE CHAN KIT YEE</t>
  </si>
  <si>
    <t>JOCELIN YEO ZHI LING / CHANG LIN XUAN TRISHA</t>
  </si>
  <si>
    <t>DOUGLAS TAN ZHENG YU / TONG JIA XIAN</t>
  </si>
  <si>
    <t>AARON FOONG ZHANGHERN / JAYDEN TEO ZHEN XI</t>
  </si>
  <si>
    <t>TU, WEI-CHIA / TSAI,CHAO-YU</t>
  </si>
  <si>
    <t>CHAO, WEI-CHIH / CHU, PO-TING</t>
  </si>
  <si>
    <t>TAN PANG BOON / RICHIE CHEE</t>
  </si>
  <si>
    <t>LAU WAI KIT / NICKOLAI LAVRENTEV</t>
  </si>
  <si>
    <t>ONG CHUA LING / CHUA YU ZHOU</t>
  </si>
  <si>
    <t>KWA KENDRICK / FARALL CHUA YUN JUN</t>
  </si>
  <si>
    <t>TEOH KAI XIANG / CHAN XIANG ZHAO</t>
  </si>
  <si>
    <t>WAN HUNG JIE / OOI YONG QIN</t>
  </si>
  <si>
    <t>SNG BOON JUN / MUHAMMAD AFIQ MOHAMED ARIFFIN</t>
  </si>
  <si>
    <t>HUANG, YING-FANG / WANG, BO-RONG</t>
  </si>
  <si>
    <t>CHEW BING HENG ELMER / COLIN ONG</t>
  </si>
  <si>
    <t>WANG RUOYU / ONG WEI ZHI</t>
  </si>
  <si>
    <t>FRANCIS HANS NAPAY CASTILLO / JOSHUA DEVAN SENTHIL KUMAR</t>
  </si>
  <si>
    <t>TAN CHENG AN JACOB / LAU WAI CHEONG SHAWN</t>
  </si>
  <si>
    <t>WONG QI YUAN / TAN YU XIAN MARTIAN</t>
  </si>
  <si>
    <t>VERNON LIM JUN WEI / REMUS LEE HO WAI</t>
  </si>
  <si>
    <t>LEE, CHUNG-HAO / CHU, PO-TING</t>
  </si>
  <si>
    <t>EDDIE YONG HOCK LIN / ANTOINE PAUL MARC MOULINIER</t>
  </si>
  <si>
    <t>POH JIN KIAT / CHAPIDDI VAMSI KRISHNA</t>
  </si>
  <si>
    <t>MUHAMMAD RAYYAN HAIDER BIN RAZIZY / TAY WEI JIE JAYDON</t>
  </si>
  <si>
    <t>TANG WEI ZHANG / NELSON KON NIAN ZU</t>
  </si>
  <si>
    <t>CHEONG TZE YAN RYAN / LUCAS CHEW MING EN</t>
  </si>
  <si>
    <t>PIERCE YEO / ISAAZ NG WEI LONG</t>
  </si>
  <si>
    <t>TAN JIA SHENG SHAUN / CHONG CHEE HAN</t>
  </si>
  <si>
    <t>TOK WEI XIAN EUGENE / CHUA HAO EN</t>
  </si>
  <si>
    <t>FRANKLIN YAU KOK WENG / NG JIA CONG KENNETH</t>
  </si>
  <si>
    <t>NG YU FENG DYLAN / WAYNE ONG</t>
  </si>
  <si>
    <t>AFIQ HANIM / FAN KAR ZHOUN CLARENCE</t>
  </si>
  <si>
    <t>TAN ZHEN WEI / NG YEE ZHER</t>
  </si>
  <si>
    <t>DENON CHONG CHENG ZONG / SEAH CHU HERN</t>
  </si>
  <si>
    <t>PAN YONG ZHI / CHUA ZHI MING</t>
  </si>
  <si>
    <t>NEO JUN YAN BRANDON / HO YONG CHIN</t>
  </si>
  <si>
    <t>KEAGAN TAN GUAN YAN / ARI ZULHAKIM BIN MOHAMED AZMAN</t>
  </si>
  <si>
    <t>ARAGORN KWA JIEKANG / KOH JUN HAO GRIFFIN</t>
  </si>
  <si>
    <t>BEK JUN BERVIN / QUAH YAN HUI</t>
  </si>
  <si>
    <t>BRIAN TAN YONG JIE / DARREN CHIA HON YEE</t>
  </si>
  <si>
    <t>GOH YAN ZHOU / GOH ZHONG JUN DILLON</t>
  </si>
  <si>
    <t>NG SIEW TING</t>
  </si>
  <si>
    <t>NG YU-EN FAYTH FLORA</t>
  </si>
  <si>
    <t>WEN, CHIA-PING</t>
  </si>
  <si>
    <t>LEE JUN FONG JESSICA</t>
  </si>
  <si>
    <t>KANG KHIM TONG CHARMAINE</t>
  </si>
  <si>
    <t>JOEY CHIENG YI FAN</t>
  </si>
  <si>
    <t>DOUGLAS TAN ZHENG YU</t>
  </si>
  <si>
    <t>TSAI,CHAO-YU</t>
  </si>
  <si>
    <t>MUHAMMAD AFIQ MOHAMED ARIFFIN</t>
  </si>
  <si>
    <t>COLIN ONG</t>
  </si>
  <si>
    <t>CHAN XIANG ZHAO</t>
  </si>
  <si>
    <t>WONG QI YUAN</t>
  </si>
  <si>
    <t>GOH ZHONG JUN DILLON</t>
  </si>
  <si>
    <t>CHAPIDDI VAMSI KRISHNA</t>
  </si>
  <si>
    <t>FAN KAR ZHOUN CLARENCE</t>
  </si>
  <si>
    <t>BEK JUN BERVIN</t>
  </si>
  <si>
    <t>FELICIA LEE SIN YEE / SUM JESS-LYNN / ONG MIN JEE / NG SIEW TING</t>
  </si>
  <si>
    <t>NGAN XIN YI / NADIA LEONG YINING / ZHUO JIA XUAN / YU RUOXI</t>
  </si>
  <si>
    <t>LIN, WAN-TUNG / WANG, KAI-CHI / WEN, CHIA-PING / CHANG, CHIUAN-JEN</t>
  </si>
  <si>
    <t>TWILA CHAN SZE HWI / TANG GAO HANG / TEH JIA  QI (ALLIE) / TRIVIA QUAK OISHI</t>
  </si>
  <si>
    <t>TAN JIE MIN / WEE HONG HUI / GRACE CHAN KIT YEE / EILEEN PNG YI LIN</t>
  </si>
  <si>
    <t>JOEY CHIENG YI FAN / LIM EN QI / CRYSTAL LEE ZEN YU / YIN XIN MIN</t>
  </si>
  <si>
    <t>JOSHUA DEVAN SENTHIL KUMAR / WONG QI YUAN / NG JIA CONG KENNETH / TAN YU XIAN MARTIAN</t>
  </si>
  <si>
    <t>TU, WEI-CHIA / TSAI,CHAO-YU / CHAO, WEI-CHIH / CHU, PO-TING</t>
  </si>
  <si>
    <t>AIDAN TAN / TAN PANG BOON / RICHIE CHEE / NG JUN HAN JUSTIN</t>
  </si>
  <si>
    <t>XAVIER ANG YU DING / SAMUEL LAU EE BIN / TAN CHENG AN JACOB / LAU WAI CHEONG SHAWN</t>
  </si>
  <si>
    <t>FRANKLIN YAU KOK WENG / WANG JUN WEI BRYAN / PER YU XUAN EDWIN / NG JIA CONG KENNETH</t>
  </si>
  <si>
    <t>LAU WAI KIT / POH JIN KIAT / CHAPIDDI VAMSI KRISHNA / FRANKLIN YAU KOK WENG</t>
  </si>
  <si>
    <t>AFIQ HANIM / FAN KAR ZHOUN CLARENCE / NG YEE ZHER / LAU GIM YUAN DARREN</t>
  </si>
  <si>
    <t>NEO JUN YAN BRANDON / KEAGAN TAN GUAN YAN / ARI ZULHAKIM BIN MOHAMED AZMAN / EUGENE LIM ZHENG SHENG</t>
  </si>
  <si>
    <t>ONG RAYEN / ANTON YEO WEN XUAN / BRIAN TAN YONG JIE / RYAN LIM TAO YUAN</t>
  </si>
  <si>
    <t>YU RUOXI</t>
  </si>
  <si>
    <t>CHANG, CHIUAN-JEN</t>
  </si>
  <si>
    <t>NUHA KUNG</t>
  </si>
  <si>
    <t>CHAN WAN QING EUNICE</t>
  </si>
  <si>
    <t>PHYLLIS CHEH KE LI</t>
  </si>
  <si>
    <t>NG JUN HAN JUSTIN</t>
  </si>
  <si>
    <t>TEOH KAI XIANG</t>
  </si>
  <si>
    <t>ROGER KWEK ZONG HENG</t>
  </si>
  <si>
    <t>PAN YONG ZHI</t>
  </si>
  <si>
    <t>BRIAN TAN YONG JIE</t>
  </si>
  <si>
    <t>KEAGAN TAN GUAN YAN</t>
  </si>
  <si>
    <t>DENON CHONG CHENG ZONG</t>
  </si>
  <si>
    <t>WANG, KAI-CHI</t>
  </si>
  <si>
    <t>BERNICE CHONG FANG YI</t>
  </si>
  <si>
    <t>LIM SI JIN</t>
  </si>
  <si>
    <t>LIM EN QI</t>
  </si>
  <si>
    <t>CHU, PO-TING</t>
  </si>
  <si>
    <t>KWA KENDRICK</t>
  </si>
  <si>
    <t>ZAVIER LOO ZHE XUAN</t>
  </si>
  <si>
    <t>FRANKLIN YAU KOK WENG</t>
  </si>
  <si>
    <t>TAY WEI JIE JAYDON</t>
  </si>
  <si>
    <t>ONG RAYEN</t>
  </si>
  <si>
    <t>TOK WEI XIAN EUGENE</t>
  </si>
  <si>
    <t>LAUDIANO TRINITY LOUISE TOLENTINO</t>
  </si>
  <si>
    <t>WU SZU YU</t>
  </si>
  <si>
    <t>JOEY THEN RUI YU</t>
  </si>
  <si>
    <t>GRACE CHAN KIT YEE</t>
  </si>
  <si>
    <t>VENECIA LEOW WEI WEN</t>
  </si>
  <si>
    <t>SHEREEN WONG</t>
  </si>
  <si>
    <t>RICHIE CHEE</t>
  </si>
  <si>
    <t>JADON CHIA YI QI</t>
  </si>
  <si>
    <t>EUGENE LIM ZHENG SHENG</t>
  </si>
  <si>
    <t>AFIQ HANIM</t>
  </si>
  <si>
    <t>FELICIA LEE SIN YEE / NG SIEW TING / WONG QI YUAN / NG JIA CONG KENNETH</t>
  </si>
  <si>
    <t>NGAN XIN YI / NADIA LEONG YINING / AARON FOONG ZHANGHERN / JAYDEN TEO ZHEN XI</t>
  </si>
  <si>
    <t>CHANG, CHIUAN-JEN / LIN, WAN-TUNG / TSAI,CHAO-YU / CHAO, WEI-CHIH</t>
  </si>
  <si>
    <t>SEOWOO PARK / NUHA KUNG / SNG BOON JUN / NG JUN HAN JUSTIN</t>
  </si>
  <si>
    <t>CLAIRE SZE WEI ROBERTS / EMMA GWYNETH TAY JIAXIN / XAVIER ANG YU DING / SAMUEL LAU EE BIN</t>
  </si>
  <si>
    <t>VERNON LIM JUN WEI / CHEW BING HENG ELMER / TANG GAO HANG / TWILA CHAN SZE HWI</t>
  </si>
  <si>
    <t>LIAN YU XIN NATASHA / KANG KHIM TONG CHARMAINE / KWA KENDRICK / FARALL CHUA YUN JUN</t>
  </si>
  <si>
    <t>TEOH KAI XIANG / WAN HUNG JIE / TEOH KAI YUAN / TAN GAO JIE</t>
  </si>
  <si>
    <t>DANA YAM / MAY-ANNE CHEW / FAN KAR ZHOUN CLARENCE / NG YEE ZHER</t>
  </si>
  <si>
    <t>KRYSANIA TAN / TEY HUEY MIN / TAN JIA SHENG SHAUN / CHONG CHEE HAN</t>
  </si>
  <si>
    <t>KOH JUN HAO GRIFFIN / QUAH YAN HUI / VALERIE LIM LI TING / TOH RUEY JUN ELEANOR KARA</t>
  </si>
  <si>
    <t>PIERCE YEO / ISAAZ NG WEI LONG / EILEEN PNG YI LIN / WEE HONG HUI</t>
  </si>
  <si>
    <t>CHEONG TZE YAN RYAN / LUCAS CHEW MING EN / CRYSTAL LEE ZEN YU / KING YEE CHEUNG</t>
  </si>
  <si>
    <t>NEO HUI XUAN KELYN / TING HIU YING BERNICE / NEO JUN YAN BRANDON / EUGENE LIM ZHENG SHENG</t>
  </si>
  <si>
    <t>EDDIE YONG HOCK LIN / ANTOINE PAUL MARC MOULINIER / WOO WAI KUAN MOIRA / VENECIA LEOW WEI WEN</t>
  </si>
  <si>
    <t>LIM EN QI / JOEY CHIENG YI FAN / CHUA HAO EN / TOK WEI XIAN EUGENE</t>
  </si>
  <si>
    <t>TOH WEIQING / WANG WANYU MELISSA / KOH CHEE LIN / CHERYL LIM</t>
  </si>
  <si>
    <t>VANESSA ONG / JAMIE ANG HUI HSIEN / RYAN LIM TAO YUAN / ONG RAYEN</t>
  </si>
  <si>
    <t>CHAPIDDI VAMSI KRISHNA / WONG QI YUAN / NG SIEW TING / WU SZU YU</t>
  </si>
  <si>
    <t>YU RUOXI / LAUDIANO TRINITY LOUISE TOLENTINO / DOUGLAS TAN ZHENG YU / AARON FOONG ZHANGHERN</t>
  </si>
  <si>
    <t>WEN, CHIA-PING / CHANG, CHIUAN-JEN / TSAI,CHAO-YU / CHU, PO-TING</t>
  </si>
  <si>
    <t>SNG BOON JUN / SEOWOO PARK / NUHA KUNG / FAN KAR ZHOUN CLARENCE</t>
  </si>
  <si>
    <t>EMMA GWYNETH TAY JIAXIN / SAMUEL LAU EE BIN / LAU WAI CHEONG SHAWN / KING YEE CHEUNG</t>
  </si>
  <si>
    <t>VALERIE TANG YAN TONG / TING HIU YING BERNICE / EUGENE LIM ZHENG SHENG / NEO JUN YAN BRANDON</t>
  </si>
  <si>
    <t>CHEW BING HENG ELMER / VERNON LIM JUN WEI / TANG GAO HANG / TWILA CHAN SZE HWI</t>
  </si>
  <si>
    <t>ARAGORN KWA JIEKANG / BEK JUN BERVIN / VALERIE LIM LI TING / TOH RUEY JUN ELEANOR KARA</t>
  </si>
  <si>
    <t>BRIAN TAN YONG JIE / ANTON YEO WEN XUAN / LIM SI JIN / JAMIE ANG HUI HSIEN</t>
  </si>
  <si>
    <t>GOH ZHONG JUN DILLON / JADON CHIA YI QI / ANGELINA WONG SHAN XUAN / SNG SHI MIN CHERMAINE</t>
  </si>
  <si>
    <t>TEY HUEY MIN / KRYSANIA TAN / TAN JIA SHENG SHAUN / CHONG CHEE HAN</t>
  </si>
  <si>
    <t>OOI YONG QIN / CHAN XIANG ZHAO / WONG SOH KIM / TAN GAO JIE</t>
  </si>
  <si>
    <t>HAS</t>
  </si>
  <si>
    <t>NPL</t>
  </si>
  <si>
    <t>NTU</t>
  </si>
  <si>
    <t>TDL</t>
  </si>
  <si>
    <t>NUS</t>
  </si>
  <si>
    <t>RPL</t>
  </si>
  <si>
    <t>SPL</t>
  </si>
  <si>
    <t>USM</t>
  </si>
  <si>
    <t>SIM</t>
  </si>
  <si>
    <t>PST</t>
  </si>
  <si>
    <t>HLS</t>
  </si>
  <si>
    <t>SZS</t>
  </si>
  <si>
    <t>STA</t>
  </si>
  <si>
    <t>ASL</t>
  </si>
  <si>
    <t>B</t>
  </si>
  <si>
    <t>O</t>
  </si>
  <si>
    <t>A</t>
  </si>
  <si>
    <t>SERC</t>
  </si>
  <si>
    <t>HASWB02</t>
  </si>
  <si>
    <t>NPLWB02</t>
  </si>
  <si>
    <t>NTUWB01</t>
  </si>
  <si>
    <t>TDLWB05</t>
  </si>
  <si>
    <t>NUSWB02</t>
  </si>
  <si>
    <t>RPLWB02</t>
  </si>
  <si>
    <t>SPLWB04</t>
  </si>
  <si>
    <t>USMWB01</t>
  </si>
  <si>
    <t>NTUWA04</t>
  </si>
  <si>
    <t>SIMWA02</t>
  </si>
  <si>
    <t>PSTWA04</t>
  </si>
  <si>
    <t>HLSWA03</t>
  </si>
  <si>
    <t>NUSWA04</t>
  </si>
  <si>
    <t>SZSWA01</t>
  </si>
  <si>
    <t>PSTWA02</t>
  </si>
  <si>
    <t>HASMB04</t>
  </si>
  <si>
    <t>NPLMB04</t>
  </si>
  <si>
    <t>TDLMB04</t>
  </si>
  <si>
    <t>NTUMB01</t>
  </si>
  <si>
    <t>NUSMB02</t>
  </si>
  <si>
    <t>RPLMB04</t>
  </si>
  <si>
    <t>SPLMB03</t>
  </si>
  <si>
    <t>USMMB06</t>
  </si>
  <si>
    <t>NPLMA02</t>
  </si>
  <si>
    <t>TDLMO01</t>
  </si>
  <si>
    <t>PSTMA05</t>
  </si>
  <si>
    <t>SPLMA03</t>
  </si>
  <si>
    <t>STAMA01</t>
  </si>
  <si>
    <t>STAMA02</t>
  </si>
  <si>
    <t>HLSMA03</t>
  </si>
  <si>
    <t>SIMMA02</t>
  </si>
  <si>
    <t>HASMA05</t>
  </si>
  <si>
    <t>SZSMA01</t>
  </si>
  <si>
    <t>NUSMA01</t>
  </si>
  <si>
    <t>PSTMA01</t>
  </si>
  <si>
    <t>PSTMA04</t>
  </si>
  <si>
    <t>HASWB02
HASWB04
HASWB05
HASWB06</t>
  </si>
  <si>
    <t>NPLWB01
NPLWB02
NPLWB03
NPLWB06</t>
  </si>
  <si>
    <t>TDLWB02
TDLWB04
TDLWB05
TDLWB06</t>
  </si>
  <si>
    <t>NTUWB01
NTUWB02
NTUWB03
NTUWB04</t>
  </si>
  <si>
    <t>NUSWB01
NUSWB02
NUSWB04
NUSWB06</t>
  </si>
  <si>
    <t>RPLWB01
RPLWB02
RPLWB03
RPLWB05</t>
  </si>
  <si>
    <t>SPLWB01
SPLWB02
SPLWB03
SPLWB04</t>
  </si>
  <si>
    <t>USMWB01
USMWB03
USMWB04
USMWB06</t>
  </si>
  <si>
    <t>NTUWA01
NTUWA02
NTUWA03
NTUWA04</t>
  </si>
  <si>
    <t>HLSWA01
HLSWA02
HLSWA03
HLSWA04</t>
  </si>
  <si>
    <t>NUSWA01
NUSWA02
NUSWA04
NUSWA05</t>
  </si>
  <si>
    <t>PSTWA01
PSTWA02
PSTWA03
PSTWA04</t>
  </si>
  <si>
    <t>STAWA01
STAWA02
STAWA03
STAWA04</t>
  </si>
  <si>
    <t>SIMWA01
SIMWA02
SIMWA03
SIMWA04</t>
  </si>
  <si>
    <t>PSTWO01
PSTWO02
PSTWO03
PSTWO04</t>
  </si>
  <si>
    <t>HASMB01
HASMB02
HASMB03
HASMB04</t>
  </si>
  <si>
    <t>NPLMB01
NPLMB02
NPLMB03
NPLMB04</t>
  </si>
  <si>
    <t>TDLMB01
TDLMB02
TDLMB03
TDLMB04</t>
  </si>
  <si>
    <t>RPLMB02
RPLMB03
RPLMB04
RPLMB05</t>
  </si>
  <si>
    <t>NUSMB01
NUSMB02
NUSMB03
NUSMB04</t>
  </si>
  <si>
    <t>NTUMB01
NTUMB03
NTUMB04
NTUMB06</t>
  </si>
  <si>
    <t>SPLMB01
SPLMB02
SPLMB03
SPLMB04</t>
  </si>
  <si>
    <t>USMMB01
USMMB02
USMMB03
USMMB04</t>
  </si>
  <si>
    <t>SPLMA01
SPLMA02
SPLMA03
SPLMA04</t>
  </si>
  <si>
    <t>STAMA01
STAMA02
STAMA03
STAMA04</t>
  </si>
  <si>
    <t>HLSMA01
HLSMA02
HLSMA03
HLSMA04</t>
  </si>
  <si>
    <t>NTUMA01
NTUMA03
NTUMA04
NTUMA05</t>
  </si>
  <si>
    <t>NUSMA01
NUSMA02
NUSMA03
NUSMA05</t>
  </si>
  <si>
    <t>PSTMA01
PSTMA02
PSTMA04
PSTMA05</t>
  </si>
  <si>
    <t>SZSMA01
SZSMA02
SZSMA03
SZSMA04</t>
  </si>
  <si>
    <t>SIMMA02
SIMMA03
SIMMA05
SIMMA06</t>
  </si>
  <si>
    <t>HASMA01
HASMA02
HASMA05
HASMA06</t>
  </si>
  <si>
    <t>NPLMA01
NPLMA02
NPLMA03
NPLMA04</t>
  </si>
  <si>
    <t>HASWB03</t>
  </si>
  <si>
    <t>NPLWB03</t>
  </si>
  <si>
    <t>TDLWB01</t>
  </si>
  <si>
    <t>NTUWB02</t>
  </si>
  <si>
    <t>NUSWB01</t>
  </si>
  <si>
    <t>RPLWB01</t>
  </si>
  <si>
    <t>SPLWB01</t>
  </si>
  <si>
    <t>USMWB02</t>
  </si>
  <si>
    <t>NUSWO01</t>
  </si>
  <si>
    <t>PSTWO04</t>
  </si>
  <si>
    <t>NTUWA01</t>
  </si>
  <si>
    <t>SIMWA03</t>
  </si>
  <si>
    <t>ASLWA01</t>
  </si>
  <si>
    <t>PSTWA01</t>
  </si>
  <si>
    <t>STAWA03</t>
  </si>
  <si>
    <t>PSTWO03</t>
  </si>
  <si>
    <t>SZSWA02</t>
  </si>
  <si>
    <t>NUSWA03</t>
  </si>
  <si>
    <t>HASMB01</t>
  </si>
  <si>
    <t>NPLMB03</t>
  </si>
  <si>
    <t>TDLMB03</t>
  </si>
  <si>
    <t>NTUMB04</t>
  </si>
  <si>
    <t>NUSMB01</t>
  </si>
  <si>
    <t>RPLMB02</t>
  </si>
  <si>
    <t>SPLMB04</t>
  </si>
  <si>
    <t>USMMB05</t>
  </si>
  <si>
    <t>SPLMA01</t>
  </si>
  <si>
    <t>SZSMA02</t>
  </si>
  <si>
    <t>HASMA02</t>
  </si>
  <si>
    <t>NPLMA04</t>
  </si>
  <si>
    <t>NTUMA05</t>
  </si>
  <si>
    <t>ASLMA01</t>
  </si>
  <si>
    <t>SIMMA06</t>
  </si>
  <si>
    <t>HLSMA02</t>
  </si>
  <si>
    <t>HASWB04</t>
  </si>
  <si>
    <t>NPLWB04</t>
  </si>
  <si>
    <t>TDLWB04</t>
  </si>
  <si>
    <t>PSTWO02</t>
  </si>
  <si>
    <t>RPLWB03</t>
  </si>
  <si>
    <t>SPLWB05</t>
  </si>
  <si>
    <t>ASLWO01</t>
  </si>
  <si>
    <t>STAWA02</t>
  </si>
  <si>
    <t>NTUWA03</t>
  </si>
  <si>
    <t>PSTWA03</t>
  </si>
  <si>
    <t>HLSWA05</t>
  </si>
  <si>
    <t>HASMB02</t>
  </si>
  <si>
    <t>NPLMB02</t>
  </si>
  <si>
    <t>TDLMB01</t>
  </si>
  <si>
    <t>NTUMB02</t>
  </si>
  <si>
    <t>NUSMB06</t>
  </si>
  <si>
    <t>RPLMB01</t>
  </si>
  <si>
    <t>SPLMB01</t>
  </si>
  <si>
    <t>HLSMA04</t>
  </si>
  <si>
    <t>NPLMA01</t>
  </si>
  <si>
    <t>NTUMA03</t>
  </si>
  <si>
    <t>SIMMA04</t>
  </si>
  <si>
    <t>TDLMO02</t>
  </si>
  <si>
    <t>HASMA01</t>
  </si>
  <si>
    <t>ASLMA02</t>
  </si>
  <si>
    <t>NUSMA05</t>
  </si>
  <si>
    <t>NUSMA06</t>
  </si>
  <si>
    <t>HASWB02
HASWB03
HASWB04
HASWB05</t>
  </si>
  <si>
    <t>NPLWB02
NPLWB03
NPLWB04
NPLWB06</t>
  </si>
  <si>
    <t>TDLWB01
TDLWB03
TDLWB04
TDLWB05</t>
  </si>
  <si>
    <t>NUSWB01
NUSWB02
NUSWB03
NUSWB05</t>
  </si>
  <si>
    <t>SPLWB02
SPLWB03
SPLWB04
SPLWB05</t>
  </si>
  <si>
    <t>USMWB02
USMWB04
USMWB05
USMWB06</t>
  </si>
  <si>
    <t>NUSWA01
NUSWA02
NUSWA03
NUSWA04</t>
  </si>
  <si>
    <t>TDLMB02 TDLMB03 TDLMB04  TDLMB05</t>
  </si>
  <si>
    <t>NTUMB01
NTUMB02
NTUMB03
NTUMB04</t>
  </si>
  <si>
    <t>NUSMB01
NUSMB02
NUSMB05
NUSMB06</t>
  </si>
  <si>
    <t>RPLMB01
RPLMB02
RPLMB03
RPLMB05</t>
  </si>
  <si>
    <t>NUSMO01
NUSMO02
NUSMO03
NUSMO04</t>
  </si>
  <si>
    <t>NUSMA01
NUSMA02
NUSMA05
NUSMA06</t>
  </si>
  <si>
    <t>PSTMA01
PSTMA03
PSTMA04
PSTMA05</t>
  </si>
  <si>
    <t>HASMA01
HASMA02
HASMA03
HASMA05</t>
  </si>
  <si>
    <t>SIMMA03
SIMMA04
SIMMA05
SIMMA06</t>
  </si>
  <si>
    <t>HASWB04
HASWB05</t>
  </si>
  <si>
    <t>NPLWB01
NPLWB04</t>
  </si>
  <si>
    <t>NPLWB02
NPLWB06</t>
  </si>
  <si>
    <t>TDLWB01
TDLWB06</t>
  </si>
  <si>
    <t>TDLWB02
TDLWB04</t>
  </si>
  <si>
    <t>NTUWB01
NTUWB04</t>
  </si>
  <si>
    <t>NUSWB03
NUSWB05</t>
  </si>
  <si>
    <t>NUSWB04
NUSWB06</t>
  </si>
  <si>
    <t>SPLWB01
SPLWB05</t>
  </si>
  <si>
    <t>SPLWB03
SPLWB04</t>
  </si>
  <si>
    <t>USMWB01
USMWB02</t>
  </si>
  <si>
    <t>USMWB05
USMWB06</t>
  </si>
  <si>
    <t>PSTWO01
PSTWO02</t>
  </si>
  <si>
    <t>RPLWB03
RPLWB04</t>
  </si>
  <si>
    <t>HASWB03
HASWB06</t>
  </si>
  <si>
    <t>RPLWB01
RPLWB02</t>
  </si>
  <si>
    <t>PSTWO03
PSTWO04</t>
  </si>
  <si>
    <t>NUSWA01
NUSWA05</t>
  </si>
  <si>
    <t>NUSWA02
NUSWA04</t>
  </si>
  <si>
    <t>PSTWA01
PSTWA02</t>
  </si>
  <si>
    <t>PSTWA03
PSTWA04</t>
  </si>
  <si>
    <t>SZSWA01
SZSWA02</t>
  </si>
  <si>
    <t>SIMWA01
SIMWA04</t>
  </si>
  <si>
    <t>USMWB03
USMWB04</t>
  </si>
  <si>
    <t>ASLWA01
ASLWA02</t>
  </si>
  <si>
    <t>HLSWA01
HLSWA02</t>
  </si>
  <si>
    <t>STAWA01
STAWA02</t>
  </si>
  <si>
    <t>STAWA03
STAWA04</t>
  </si>
  <si>
    <t>HLSWA03
HLSWA04</t>
  </si>
  <si>
    <t>NTUWA02
NTUWA04</t>
  </si>
  <si>
    <t>NPLMB01
NPLMB04</t>
  </si>
  <si>
    <t>NPLMB02
NPLMB03</t>
  </si>
  <si>
    <t>TDLMB01
TDLMB02</t>
  </si>
  <si>
    <t>TDLMB03
TDLMB05</t>
  </si>
  <si>
    <t>NTUMB02
NTUMB03</t>
  </si>
  <si>
    <t>HASMA01
HASMA06</t>
  </si>
  <si>
    <t>SPLMB01
SPLMB04</t>
  </si>
  <si>
    <t>SPLMB02
SPLMB03</t>
  </si>
  <si>
    <t>USMMB01
USMMB04</t>
  </si>
  <si>
    <t>USMMB02
USMMB03</t>
  </si>
  <si>
    <t>NTUMB04
NTUMB06</t>
  </si>
  <si>
    <t>TDLMO02
TDLMO03</t>
  </si>
  <si>
    <t>RPLMB01
RPLMB05</t>
  </si>
  <si>
    <t>NUSMB04
NUSMB06</t>
  </si>
  <si>
    <t>HASMB01
HASMB02</t>
  </si>
  <si>
    <t>NUSMB03
NUSMB05</t>
  </si>
  <si>
    <t>HASMB03
HASMB05</t>
  </si>
  <si>
    <t>RPLMB02
RPLMB03</t>
  </si>
  <si>
    <t>TDLMO01
TDLMB05</t>
  </si>
  <si>
    <t>ASLMA01
ASLMA02</t>
  </si>
  <si>
    <t>HASMA02
HASMA03</t>
  </si>
  <si>
    <t>NPLMA01
NPLMA03</t>
  </si>
  <si>
    <t>USMMB05
USMMB06</t>
  </si>
  <si>
    <t>NUSMA01
NUSMA05</t>
  </si>
  <si>
    <t>HLSMA02
HLSMA03</t>
  </si>
  <si>
    <t>STAMA01
STAMA02</t>
  </si>
  <si>
    <t>NUSMA03
NUSMA06</t>
  </si>
  <si>
    <t>HASMA04
HASMB04</t>
  </si>
  <si>
    <t>NPLMA02
NPLMA04</t>
  </si>
  <si>
    <t>NTUMA01
NTUMA04</t>
  </si>
  <si>
    <t>NTUMA03
NTUMA05</t>
  </si>
  <si>
    <t>NUSMA02
NUSMA04</t>
  </si>
  <si>
    <t>HLSMA01
HLSMA05</t>
  </si>
  <si>
    <t>PSTMA01
PSTMA02</t>
  </si>
  <si>
    <t>PSTMA03
PSTMA04</t>
  </si>
  <si>
    <t>SZSMA01
SZSMA02</t>
  </si>
  <si>
    <t>SZSMA03
SZSMA04</t>
  </si>
  <si>
    <t>SIMMA03
SIMMA05</t>
  </si>
  <si>
    <t>SPLMA01
SPLMA02</t>
  </si>
  <si>
    <t>HASWB05</t>
  </si>
  <si>
    <t>NPLWB01</t>
  </si>
  <si>
    <t>TDLWB03</t>
  </si>
  <si>
    <t>NTUWB04</t>
  </si>
  <si>
    <t>SPLWB03</t>
  </si>
  <si>
    <t>NUSWA01</t>
  </si>
  <si>
    <t>NPLMB01</t>
  </si>
  <si>
    <t>TDLMB02</t>
  </si>
  <si>
    <t>NTUMB06</t>
  </si>
  <si>
    <t>RPLMB05</t>
  </si>
  <si>
    <t>USMMB04</t>
  </si>
  <si>
    <t>HASMB03</t>
  </si>
  <si>
    <t>SPLMA02</t>
  </si>
  <si>
    <t>HASMA03</t>
  </si>
  <si>
    <t>NTUMA04</t>
  </si>
  <si>
    <t>SZSMA03</t>
  </si>
  <si>
    <t>HASWB01
HASWB02
HASWB04
HASWB05</t>
  </si>
  <si>
    <t>NPLWB02
NPLWB03
NPLWB04
NPLWB05</t>
  </si>
  <si>
    <t>TDLWB01
TDLWB02
TDLWB03
TDLWB06</t>
  </si>
  <si>
    <t>RPLWB01
RPLWB02
RPLWB03
RPLWB04</t>
  </si>
  <si>
    <t>HLSWA01
HLSWA03
HLSWA04
HLSWA05</t>
  </si>
  <si>
    <t>NUSWA01
NUSWA02
NUSWA03
NUSWA05</t>
  </si>
  <si>
    <t>HASMB02
HASMB03
HASMB04
HASMB05</t>
  </si>
  <si>
    <t>TDLMB01
TDLMB02
TDLMB03
TDLMB05</t>
  </si>
  <si>
    <t>NTUMB01
NTUMB02
NTUMB03
NTUMB05</t>
  </si>
  <si>
    <t>NUSMB01
NUSMB02
NUSMB03
NUSMB05</t>
  </si>
  <si>
    <t>HASMA04
HASMO01
HASMO02
HASMB04</t>
  </si>
  <si>
    <t>HASMA01
HASMA02
HASMA03
HASMA04</t>
  </si>
  <si>
    <t>NTUMA01
NTUMA04
NTUMA05
NTUMA06</t>
  </si>
  <si>
    <t>PSTMA01
PSTMA03
PSTMA04
PSTMA06</t>
  </si>
  <si>
    <t>SIMMA01
SIMMA02
SIMMA03
SIMMA06</t>
  </si>
  <si>
    <t>NPLWB05</t>
  </si>
  <si>
    <t>TDLWB06</t>
  </si>
  <si>
    <t>NTUWB03</t>
  </si>
  <si>
    <t>HLSWA02</t>
  </si>
  <si>
    <t>SIMWA01</t>
  </si>
  <si>
    <t>NTUMB05</t>
  </si>
  <si>
    <t>USMMB01</t>
  </si>
  <si>
    <t>NTUMA02</t>
  </si>
  <si>
    <t>HLSMA01</t>
  </si>
  <si>
    <t>SIMMA03</t>
  </si>
  <si>
    <t>PSTMA03</t>
  </si>
  <si>
    <t>NUSMA02</t>
  </si>
  <si>
    <t>TDLWB02</t>
  </si>
  <si>
    <t>SPLWB02</t>
  </si>
  <si>
    <t>SIMWA04</t>
  </si>
  <si>
    <t>NUSWA02</t>
  </si>
  <si>
    <t>TDLMB05</t>
  </si>
  <si>
    <t>SPLMB02</t>
  </si>
  <si>
    <t>NUSMO07</t>
  </si>
  <si>
    <t>HASMA04</t>
  </si>
  <si>
    <t>NPLMA03</t>
  </si>
  <si>
    <t>SIMMA01</t>
  </si>
  <si>
    <t>NUSMA03</t>
  </si>
  <si>
    <t>NPLWB06</t>
  </si>
  <si>
    <t>HASWB06</t>
  </si>
  <si>
    <t>USMWB05</t>
  </si>
  <si>
    <t>HLSWA04</t>
  </si>
  <si>
    <t>ASLWA02</t>
  </si>
  <si>
    <t>STAWA01</t>
  </si>
  <si>
    <t>NTUMB03</t>
  </si>
  <si>
    <t>SPLMA04</t>
  </si>
  <si>
    <t>PSTMA06</t>
  </si>
  <si>
    <t>NTUMA01</t>
  </si>
  <si>
    <t>HASWB01
HASWB05
HASMB03
HASMB04</t>
  </si>
  <si>
    <t>NPLWB02
NPLWB03
NPLMB02
NPLMB03</t>
  </si>
  <si>
    <t>TDLWB06
TDLWB01
TDLMB02
TDLMB03</t>
  </si>
  <si>
    <t>NTUWB01
NTUWB03
NTUMB04
NTUMB05</t>
  </si>
  <si>
    <t>NUSWB01
NUSWB02
NUSMB01
NUSMB02</t>
  </si>
  <si>
    <t>RPLMB02
RPLMB01
RPLWB02
RPLWB01</t>
  </si>
  <si>
    <t>SPLWB04
SPLWB03
SPLMB02
SPLMB03</t>
  </si>
  <si>
    <t>USMMB01
USMMB02
USMWB01
USMWB06</t>
  </si>
  <si>
    <t>NTUWA01
NTUWA03
NTUMA04
NTUMA05</t>
  </si>
  <si>
    <t>STAWA02
STAWA03
STAMA01
STAMA02</t>
  </si>
  <si>
    <t>SZSMA02
SZSMA04
SZSWA01
SZSWA02</t>
  </si>
  <si>
    <t>HLSMA02
HLSMA03
HLSWA05
HLSWA03</t>
  </si>
  <si>
    <t>NUSMA01
NUSMA05
NUSWA03
NUSWA04</t>
  </si>
  <si>
    <t>PSTWA02
PSTWA01
PSTMA01
PSTMA06</t>
  </si>
  <si>
    <t>ASLMA01
ASLMA02
ASLWA01
ASLWA02</t>
  </si>
  <si>
    <t>NUSWA02
NUSWA01
NUSMA06
NUSMA03</t>
  </si>
  <si>
    <t>NUSMO02
NUSWO01
NUSMO04
NUSWO02</t>
  </si>
  <si>
    <t>SIMWA02
SIMWA03
SIMMA06
SIMMA01</t>
  </si>
  <si>
    <t>HASMA03
HASMB03
HASWB05
HASWB06</t>
  </si>
  <si>
    <t>NPLWB05
NPLWB06
NPLMB01
NPLMB02</t>
  </si>
  <si>
    <t>TDLWB03
TDLWB06
TDLMB02
TDLMB05</t>
  </si>
  <si>
    <t>NTUMB04
NTUWB01
NTUWB03
NTUMA04</t>
  </si>
  <si>
    <t>NUSWB02
NUSMB02
NUSMB05
NUSWA04</t>
  </si>
  <si>
    <t>PSTWO01
PSTWA01
PSTMA06
PSTMA01</t>
  </si>
  <si>
    <t>RPLMB01
RPLMB02
RPLWB02
RPLWB01</t>
  </si>
  <si>
    <t>SZSMA01
SZSMA03
SZSWA01
SZSWA02</t>
  </si>
  <si>
    <t>SIMMA03
SIMMA02
SIMWA04
SIMWA03</t>
  </si>
  <si>
    <t>SPLMA02
SPLMA04
SPLWB01
SPLWB05</t>
  </si>
  <si>
    <t>STAWA03
STAWA02
STAMA01
STAMA02</t>
  </si>
  <si>
    <t>USMMB03
USMMB04
USMWB02
USMWB06</t>
  </si>
</sst>
</file>

<file path=xl/styles.xml><?xml version="1.0" encoding="utf-8"?>
<styleSheet xmlns="http://schemas.openxmlformats.org/spreadsheetml/2006/main">
  <numFmts count="1">
    <numFmt numFmtId="164" formatCode="m&quot;min&quot; s&quot;s&quot;  .000&quot;ms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1"/>
  <sheetViews>
    <sheetView tabSelected="1" workbookViewId="0"/>
  </sheetViews>
  <sheetFormatPr defaultRowHeight="15"/>
  <cols>
    <col min="10" max="14" width="9.140625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1</v>
      </c>
      <c r="B2" t="s">
        <v>17</v>
      </c>
      <c r="C2" t="s">
        <v>41</v>
      </c>
      <c r="D2" t="s">
        <v>65</v>
      </c>
      <c r="E2" t="s">
        <v>71</v>
      </c>
      <c r="F2" t="s">
        <v>81</v>
      </c>
      <c r="G2" t="s">
        <v>390</v>
      </c>
      <c r="H2" t="s">
        <v>404</v>
      </c>
      <c r="I2" t="s">
        <v>408</v>
      </c>
      <c r="M2" s="1">
        <f>AVERAGE(J2:L2)</f>
        <v>0</v>
      </c>
      <c r="N2" s="1">
        <f>M2</f>
        <v>0</v>
      </c>
      <c r="P2" s="3">
        <f>IF(OR(H2="O", NOT(ISNUMBER(M2))), "", IF(COUNTIFS(C$2:C$999, C2, H$2:H$999, H2, M$2:M$999, "&lt;"&amp;M2)+1=1, 9, IF(COUNTIFS(C$2:C$999, C2, H$2:H$999, H2, M$2:M$999, "&lt;"&amp;M2)+1&lt;=8, 10-(COUNTIFS(C$2:C$999, C2, H$2:H$999, H2, M$2:M$999, "&lt;"&amp;M2)+1)-1, "")))</f>
        <v>0</v>
      </c>
      <c r="Q2" s="3">
        <f>IF(AND(N2&lt;&gt;"", O2&lt;&gt;""), 1, "")</f>
        <v>0</v>
      </c>
    </row>
    <row r="3" spans="1:17">
      <c r="A3">
        <v>2</v>
      </c>
      <c r="B3" t="s">
        <v>17</v>
      </c>
      <c r="C3" t="s">
        <v>41</v>
      </c>
      <c r="D3" t="s">
        <v>65</v>
      </c>
      <c r="E3" t="s">
        <v>72</v>
      </c>
      <c r="F3" t="s">
        <v>82</v>
      </c>
      <c r="G3" t="s">
        <v>391</v>
      </c>
      <c r="H3" t="s">
        <v>404</v>
      </c>
      <c r="I3" t="s">
        <v>409</v>
      </c>
      <c r="M3" s="1">
        <f>AVERAGE(J3:L3)</f>
        <v>0</v>
      </c>
      <c r="N3" s="1">
        <f>M3</f>
        <v>0</v>
      </c>
      <c r="P3" s="3">
        <f>IF(OR(H3="O", NOT(ISNUMBER(M3))), "", IF(COUNTIFS(C$2:C$999, C3, H$2:H$999, H3, M$2:M$999, "&lt;"&amp;M3)+1=1, 9, IF(COUNTIFS(C$2:C$999, C3, H$2:H$999, H3, M$2:M$999, "&lt;"&amp;M3)+1&lt;=8, 10-(COUNTIFS(C$2:C$999, C3, H$2:H$999, H3, M$2:M$999, "&lt;"&amp;M3)+1)-1, "")))</f>
        <v>0</v>
      </c>
      <c r="Q3" s="3">
        <f>IF(AND(N3&lt;&gt;"", O3&lt;&gt;""), 1, "")</f>
        <v>0</v>
      </c>
    </row>
    <row r="4" spans="1:17">
      <c r="A4">
        <v>3</v>
      </c>
      <c r="B4" t="s">
        <v>17</v>
      </c>
      <c r="C4" t="s">
        <v>41</v>
      </c>
      <c r="D4" t="s">
        <v>65</v>
      </c>
      <c r="E4" t="s">
        <v>73</v>
      </c>
      <c r="F4" t="s">
        <v>83</v>
      </c>
      <c r="G4" t="s">
        <v>392</v>
      </c>
      <c r="H4" t="s">
        <v>404</v>
      </c>
      <c r="I4" t="s">
        <v>410</v>
      </c>
      <c r="M4" s="1">
        <f>AVERAGE(J4:L4)</f>
        <v>0</v>
      </c>
      <c r="N4" s="1">
        <f>M4</f>
        <v>0</v>
      </c>
      <c r="P4" s="3">
        <f>IF(OR(H4="O", NOT(ISNUMBER(M4))), "", IF(COUNTIFS(C$2:C$999, C4, H$2:H$999, H4, M$2:M$999, "&lt;"&amp;M4)+1=1, 9, IF(COUNTIFS(C$2:C$999, C4, H$2:H$999, H4, M$2:M$999, "&lt;"&amp;M4)+1&lt;=8, 10-(COUNTIFS(C$2:C$999, C4, H$2:H$999, H4, M$2:M$999, "&lt;"&amp;M4)+1)-1, "")))</f>
        <v>0</v>
      </c>
      <c r="Q4" s="3">
        <f>IF(AND(N4&lt;&gt;"", O4&lt;&gt;""), 1, "")</f>
        <v>0</v>
      </c>
    </row>
    <row r="5" spans="1:17">
      <c r="A5">
        <v>4</v>
      </c>
      <c r="B5" t="s">
        <v>17</v>
      </c>
      <c r="C5" t="s">
        <v>41</v>
      </c>
      <c r="D5" t="s">
        <v>65</v>
      </c>
      <c r="E5" t="s">
        <v>74</v>
      </c>
      <c r="F5" t="s">
        <v>84</v>
      </c>
      <c r="G5" t="s">
        <v>393</v>
      </c>
      <c r="H5" t="s">
        <v>404</v>
      </c>
      <c r="I5" t="s">
        <v>411</v>
      </c>
      <c r="M5" s="1">
        <f>AVERAGE(J5:L5)</f>
        <v>0</v>
      </c>
      <c r="N5" s="1">
        <f>M5</f>
        <v>0</v>
      </c>
      <c r="P5" s="3">
        <f>IF(OR(H5="O", NOT(ISNUMBER(M5))), "", IF(COUNTIFS(C$2:C$999, C5, H$2:H$999, H5, M$2:M$999, "&lt;"&amp;M5)+1=1, 9, IF(COUNTIFS(C$2:C$999, C5, H$2:H$999, H5, M$2:M$999, "&lt;"&amp;M5)+1&lt;=8, 10-(COUNTIFS(C$2:C$999, C5, H$2:H$999, H5, M$2:M$999, "&lt;"&amp;M5)+1)-1, "")))</f>
        <v>0</v>
      </c>
      <c r="Q5" s="3">
        <f>IF(AND(N5&lt;&gt;"", O5&lt;&gt;""), 1, "")</f>
        <v>0</v>
      </c>
    </row>
    <row r="6" spans="1:17">
      <c r="A6">
        <v>5</v>
      </c>
      <c r="B6" t="s">
        <v>17</v>
      </c>
      <c r="C6" t="s">
        <v>41</v>
      </c>
      <c r="D6" t="s">
        <v>65</v>
      </c>
      <c r="E6" t="s">
        <v>75</v>
      </c>
      <c r="F6" t="s">
        <v>85</v>
      </c>
      <c r="G6" t="s">
        <v>394</v>
      </c>
      <c r="H6" t="s">
        <v>404</v>
      </c>
      <c r="I6" t="s">
        <v>412</v>
      </c>
      <c r="M6" s="1">
        <f>AVERAGE(J6:L6)</f>
        <v>0</v>
      </c>
      <c r="N6" s="1">
        <f>M6</f>
        <v>0</v>
      </c>
      <c r="P6" s="3">
        <f>IF(OR(H6="O", NOT(ISNUMBER(M6))), "", IF(COUNTIFS(C$2:C$999, C6, H$2:H$999, H6, M$2:M$999, "&lt;"&amp;M6)+1=1, 9, IF(COUNTIFS(C$2:C$999, C6, H$2:H$999, H6, M$2:M$999, "&lt;"&amp;M6)+1&lt;=8, 10-(COUNTIFS(C$2:C$999, C6, H$2:H$999, H6, M$2:M$999, "&lt;"&amp;M6)+1)-1, "")))</f>
        <v>0</v>
      </c>
      <c r="Q6" s="3">
        <f>IF(AND(N6&lt;&gt;"", O6&lt;&gt;""), 1, "")</f>
        <v>0</v>
      </c>
    </row>
    <row r="7" spans="1:17">
      <c r="A7">
        <v>6</v>
      </c>
      <c r="B7" t="s">
        <v>17</v>
      </c>
      <c r="C7" t="s">
        <v>41</v>
      </c>
      <c r="D7" t="s">
        <v>65</v>
      </c>
      <c r="E7" t="s">
        <v>76</v>
      </c>
      <c r="F7" t="s">
        <v>86</v>
      </c>
      <c r="G7" t="s">
        <v>395</v>
      </c>
      <c r="H7" t="s">
        <v>404</v>
      </c>
      <c r="I7" t="s">
        <v>413</v>
      </c>
      <c r="M7" s="1">
        <f>AVERAGE(J7:L7)</f>
        <v>0</v>
      </c>
      <c r="N7" s="1">
        <f>M7</f>
        <v>0</v>
      </c>
      <c r="P7" s="3">
        <f>IF(OR(H7="O", NOT(ISNUMBER(M7))), "", IF(COUNTIFS(C$2:C$999, C7, H$2:H$999, H7, M$2:M$999, "&lt;"&amp;M7)+1=1, 9, IF(COUNTIFS(C$2:C$999, C7, H$2:H$999, H7, M$2:M$999, "&lt;"&amp;M7)+1&lt;=8, 10-(COUNTIFS(C$2:C$999, C7, H$2:H$999, H7, M$2:M$999, "&lt;"&amp;M7)+1)-1, "")))</f>
        <v>0</v>
      </c>
      <c r="Q7" s="3">
        <f>IF(AND(N7&lt;&gt;"", O7&lt;&gt;""), 1, "")</f>
        <v>0</v>
      </c>
    </row>
    <row r="8" spans="1:17">
      <c r="A8">
        <v>7</v>
      </c>
      <c r="B8" t="s">
        <v>17</v>
      </c>
      <c r="C8" t="s">
        <v>41</v>
      </c>
      <c r="D8" t="s">
        <v>65</v>
      </c>
      <c r="E8" t="s">
        <v>77</v>
      </c>
      <c r="F8" t="s">
        <v>87</v>
      </c>
      <c r="G8" t="s">
        <v>396</v>
      </c>
      <c r="H8" t="s">
        <v>404</v>
      </c>
      <c r="I8" t="s">
        <v>414</v>
      </c>
      <c r="M8" s="1">
        <f>AVERAGE(J8:L8)</f>
        <v>0</v>
      </c>
      <c r="N8" s="1">
        <f>M8</f>
        <v>0</v>
      </c>
      <c r="P8" s="3">
        <f>IF(OR(H8="O", NOT(ISNUMBER(M8))), "", IF(COUNTIFS(C$2:C$999, C8, H$2:H$999, H8, M$2:M$999, "&lt;"&amp;M8)+1=1, 9, IF(COUNTIFS(C$2:C$999, C8, H$2:H$999, H8, M$2:M$999, "&lt;"&amp;M8)+1&lt;=8, 10-(COUNTIFS(C$2:C$999, C8, H$2:H$999, H8, M$2:M$999, "&lt;"&amp;M8)+1)-1, "")))</f>
        <v>0</v>
      </c>
      <c r="Q8" s="3">
        <f>IF(AND(N8&lt;&gt;"", O8&lt;&gt;""), 1, "")</f>
        <v>0</v>
      </c>
    </row>
    <row r="9" spans="1:17">
      <c r="A9">
        <v>8</v>
      </c>
      <c r="B9" t="s">
        <v>17</v>
      </c>
      <c r="C9" t="s">
        <v>41</v>
      </c>
      <c r="D9" t="s">
        <v>65</v>
      </c>
      <c r="E9" t="s">
        <v>78</v>
      </c>
      <c r="F9" t="s">
        <v>88</v>
      </c>
      <c r="G9" t="s">
        <v>397</v>
      </c>
      <c r="H9" t="s">
        <v>404</v>
      </c>
      <c r="I9" t="s">
        <v>415</v>
      </c>
      <c r="M9" s="1">
        <f>AVERAGE(J9:L9)</f>
        <v>0</v>
      </c>
      <c r="N9" s="1">
        <f>M9</f>
        <v>0</v>
      </c>
      <c r="P9" s="3">
        <f>IF(OR(H9="O", NOT(ISNUMBER(M9))), "", IF(COUNTIFS(C$2:C$999, C9, H$2:H$999, H9, M$2:M$999, "&lt;"&amp;M9)+1=1, 9, IF(COUNTIFS(C$2:C$999, C9, H$2:H$999, H9, M$2:M$999, "&lt;"&amp;M9)+1&lt;=8, 10-(COUNTIFS(C$2:C$999, C9, H$2:H$999, H9, M$2:M$999, "&lt;"&amp;M9)+1)-1, "")))</f>
        <v>0</v>
      </c>
      <c r="Q9" s="3">
        <f>IF(AND(N9&lt;&gt;"", O9&lt;&gt;""), 1, "")</f>
        <v>0</v>
      </c>
    </row>
    <row r="10" spans="1:17">
      <c r="A10">
        <v>9</v>
      </c>
      <c r="B10" t="s">
        <v>17</v>
      </c>
      <c r="C10" t="s">
        <v>41</v>
      </c>
      <c r="D10" t="s">
        <v>66</v>
      </c>
      <c r="E10" t="s">
        <v>71</v>
      </c>
      <c r="F10" t="s">
        <v>89</v>
      </c>
      <c r="G10" t="s">
        <v>392</v>
      </c>
      <c r="H10" t="s">
        <v>406</v>
      </c>
      <c r="I10" t="s">
        <v>416</v>
      </c>
      <c r="M10" s="1">
        <f>AVERAGE(J10:L10)</f>
        <v>0</v>
      </c>
      <c r="N10" s="1">
        <f>M10</f>
        <v>0</v>
      </c>
      <c r="P10" s="3">
        <f>IF(OR(H10="O", NOT(ISNUMBER(M10))), "", IF(COUNTIFS(C$2:C$999, C10, H$2:H$999, H10, M$2:M$999, "&lt;"&amp;M10)+1=1, 9, IF(COUNTIFS(C$2:C$999, C10, H$2:H$999, H10, M$2:M$999, "&lt;"&amp;M10)+1&lt;=8, 10-(COUNTIFS(C$2:C$999, C10, H$2:H$999, H10, M$2:M$999, "&lt;"&amp;M10)+1)-1, "")))</f>
        <v>0</v>
      </c>
      <c r="Q10" s="3">
        <f>IF(AND(N10&lt;&gt;"", O10&lt;&gt;""), 1, "")</f>
        <v>0</v>
      </c>
    </row>
    <row r="11" spans="1:17">
      <c r="A11">
        <v>10</v>
      </c>
      <c r="B11" t="s">
        <v>17</v>
      </c>
      <c r="C11" t="s">
        <v>41</v>
      </c>
      <c r="D11" t="s">
        <v>66</v>
      </c>
      <c r="E11" t="s">
        <v>72</v>
      </c>
      <c r="F11" t="s">
        <v>90</v>
      </c>
      <c r="G11" t="s">
        <v>398</v>
      </c>
      <c r="H11" t="s">
        <v>406</v>
      </c>
      <c r="I11" t="s">
        <v>417</v>
      </c>
      <c r="M11" s="1">
        <f>AVERAGE(J11:L11)</f>
        <v>0</v>
      </c>
      <c r="N11" s="1">
        <f>M11</f>
        <v>0</v>
      </c>
      <c r="P11" s="3">
        <f>IF(OR(H11="O", NOT(ISNUMBER(M11))), "", IF(COUNTIFS(C$2:C$999, C11, H$2:H$999, H11, M$2:M$999, "&lt;"&amp;M11)+1=1, 9, IF(COUNTIFS(C$2:C$999, C11, H$2:H$999, H11, M$2:M$999, "&lt;"&amp;M11)+1&lt;=8, 10-(COUNTIFS(C$2:C$999, C11, H$2:H$999, H11, M$2:M$999, "&lt;"&amp;M11)+1)-1, "")))</f>
        <v>0</v>
      </c>
      <c r="Q11" s="3">
        <f>IF(AND(N11&lt;&gt;"", O11&lt;&gt;""), 1, "")</f>
        <v>0</v>
      </c>
    </row>
    <row r="12" spans="1:17">
      <c r="A12">
        <v>11</v>
      </c>
      <c r="B12" t="s">
        <v>17</v>
      </c>
      <c r="C12" t="s">
        <v>41</v>
      </c>
      <c r="D12" t="s">
        <v>66</v>
      </c>
      <c r="E12" t="s">
        <v>73</v>
      </c>
      <c r="F12" t="s">
        <v>91</v>
      </c>
      <c r="G12" t="s">
        <v>399</v>
      </c>
      <c r="H12" t="s">
        <v>406</v>
      </c>
      <c r="I12" t="s">
        <v>418</v>
      </c>
      <c r="M12" s="1">
        <f>AVERAGE(J12:L12)</f>
        <v>0</v>
      </c>
      <c r="N12" s="1">
        <f>M12</f>
        <v>0</v>
      </c>
      <c r="P12" s="3">
        <f>IF(OR(H12="O", NOT(ISNUMBER(M12))), "", IF(COUNTIFS(C$2:C$999, C12, H$2:H$999, H12, M$2:M$999, "&lt;"&amp;M12)+1=1, 9, IF(COUNTIFS(C$2:C$999, C12, H$2:H$999, H12, M$2:M$999, "&lt;"&amp;M12)+1&lt;=8, 10-(COUNTIFS(C$2:C$999, C12, H$2:H$999, H12, M$2:M$999, "&lt;"&amp;M12)+1)-1, "")))</f>
        <v>0</v>
      </c>
      <c r="Q12" s="3">
        <f>IF(AND(N12&lt;&gt;"", O12&lt;&gt;""), 1, "")</f>
        <v>0</v>
      </c>
    </row>
    <row r="13" spans="1:17">
      <c r="A13">
        <v>12</v>
      </c>
      <c r="B13" t="s">
        <v>17</v>
      </c>
      <c r="C13" t="s">
        <v>41</v>
      </c>
      <c r="D13" t="s">
        <v>66</v>
      </c>
      <c r="E13" t="s">
        <v>74</v>
      </c>
      <c r="F13" t="s">
        <v>92</v>
      </c>
      <c r="G13" t="s">
        <v>400</v>
      </c>
      <c r="H13" t="s">
        <v>406</v>
      </c>
      <c r="I13" t="s">
        <v>419</v>
      </c>
      <c r="M13" s="1">
        <f>AVERAGE(J13:L13)</f>
        <v>0</v>
      </c>
      <c r="N13" s="1">
        <f>M13</f>
        <v>0</v>
      </c>
      <c r="P13" s="3">
        <f>IF(OR(H13="O", NOT(ISNUMBER(M13))), "", IF(COUNTIFS(C$2:C$999, C13, H$2:H$999, H13, M$2:M$999, "&lt;"&amp;M13)+1=1, 9, IF(COUNTIFS(C$2:C$999, C13, H$2:H$999, H13, M$2:M$999, "&lt;"&amp;M13)+1&lt;=8, 10-(COUNTIFS(C$2:C$999, C13, H$2:H$999, H13, M$2:M$999, "&lt;"&amp;M13)+1)-1, "")))</f>
        <v>0</v>
      </c>
      <c r="Q13" s="3">
        <f>IF(AND(N13&lt;&gt;"", O13&lt;&gt;""), 1, "")</f>
        <v>0</v>
      </c>
    </row>
    <row r="14" spans="1:17">
      <c r="A14">
        <v>13</v>
      </c>
      <c r="B14" t="s">
        <v>17</v>
      </c>
      <c r="C14" t="s">
        <v>41</v>
      </c>
      <c r="D14" t="s">
        <v>66</v>
      </c>
      <c r="E14" t="s">
        <v>75</v>
      </c>
      <c r="F14" t="s">
        <v>93</v>
      </c>
      <c r="G14" t="s">
        <v>394</v>
      </c>
      <c r="H14" t="s">
        <v>406</v>
      </c>
      <c r="I14" t="s">
        <v>420</v>
      </c>
      <c r="M14" s="1">
        <f>AVERAGE(J14:L14)</f>
        <v>0</v>
      </c>
      <c r="N14" s="1">
        <f>M14</f>
        <v>0</v>
      </c>
      <c r="P14" s="3">
        <f>IF(OR(H14="O", NOT(ISNUMBER(M14))), "", IF(COUNTIFS(C$2:C$999, C14, H$2:H$999, H14, M$2:M$999, "&lt;"&amp;M14)+1=1, 9, IF(COUNTIFS(C$2:C$999, C14, H$2:H$999, H14, M$2:M$999, "&lt;"&amp;M14)+1&lt;=8, 10-(COUNTIFS(C$2:C$999, C14, H$2:H$999, H14, M$2:M$999, "&lt;"&amp;M14)+1)-1, "")))</f>
        <v>0</v>
      </c>
      <c r="Q14" s="3">
        <f>IF(AND(N14&lt;&gt;"", O14&lt;&gt;""), 1, "")</f>
        <v>0</v>
      </c>
    </row>
    <row r="15" spans="1:17">
      <c r="A15">
        <v>14</v>
      </c>
      <c r="B15" t="s">
        <v>17</v>
      </c>
      <c r="C15" t="s">
        <v>41</v>
      </c>
      <c r="D15" t="s">
        <v>66</v>
      </c>
      <c r="E15" t="s">
        <v>76</v>
      </c>
      <c r="F15" t="s">
        <v>94</v>
      </c>
      <c r="G15" t="s">
        <v>401</v>
      </c>
      <c r="H15" t="s">
        <v>406</v>
      </c>
      <c r="I15" t="s">
        <v>421</v>
      </c>
      <c r="M15" s="1">
        <f>AVERAGE(J15:L15)</f>
        <v>0</v>
      </c>
      <c r="N15" s="1">
        <f>M15</f>
        <v>0</v>
      </c>
      <c r="P15" s="3">
        <f>IF(OR(H15="O", NOT(ISNUMBER(M15))), "", IF(COUNTIFS(C$2:C$999, C15, H$2:H$999, H15, M$2:M$999, "&lt;"&amp;M15)+1=1, 9, IF(COUNTIFS(C$2:C$999, C15, H$2:H$999, H15, M$2:M$999, "&lt;"&amp;M15)+1&lt;=8, 10-(COUNTIFS(C$2:C$999, C15, H$2:H$999, H15, M$2:M$999, "&lt;"&amp;M15)+1)-1, "")))</f>
        <v>0</v>
      </c>
      <c r="Q15" s="3">
        <f>IF(AND(N15&lt;&gt;"", O15&lt;&gt;""), 1, "")</f>
        <v>0</v>
      </c>
    </row>
    <row r="16" spans="1:17">
      <c r="A16">
        <v>15</v>
      </c>
      <c r="B16" t="s">
        <v>17</v>
      </c>
      <c r="C16" t="s">
        <v>41</v>
      </c>
      <c r="D16" t="s">
        <v>66</v>
      </c>
      <c r="E16" t="s">
        <v>77</v>
      </c>
      <c r="F16" t="s">
        <v>95</v>
      </c>
      <c r="G16" t="s">
        <v>399</v>
      </c>
      <c r="H16" t="s">
        <v>405</v>
      </c>
      <c r="I16" t="s">
        <v>422</v>
      </c>
      <c r="M16" s="1">
        <f>AVERAGE(J16:L16)</f>
        <v>0</v>
      </c>
      <c r="N16" s="1">
        <f>M16</f>
        <v>0</v>
      </c>
      <c r="P16" s="3">
        <f>IF(OR(H16="O", NOT(ISNUMBER(M16))), "", IF(COUNTIFS(C$2:C$999, C16, H$2:H$999, H16, M$2:M$999, "&lt;"&amp;M16)+1=1, 9, IF(COUNTIFS(C$2:C$999, C16, H$2:H$999, H16, M$2:M$999, "&lt;"&amp;M16)+1&lt;=8, 10-(COUNTIFS(C$2:C$999, C16, H$2:H$999, H16, M$2:M$999, "&lt;"&amp;M16)+1)-1, "")))</f>
        <v>0</v>
      </c>
      <c r="Q16" s="3">
        <f>IF(AND(N16&lt;&gt;"", O16&lt;&gt;""), 1, "")</f>
        <v>0</v>
      </c>
    </row>
    <row r="17" spans="1:17">
      <c r="A17">
        <v>16</v>
      </c>
      <c r="B17" t="s">
        <v>18</v>
      </c>
      <c r="C17" t="s">
        <v>42</v>
      </c>
      <c r="D17" t="s">
        <v>65</v>
      </c>
      <c r="E17" t="s">
        <v>71</v>
      </c>
      <c r="F17" t="s">
        <v>96</v>
      </c>
      <c r="G17" t="s">
        <v>390</v>
      </c>
      <c r="H17" t="s">
        <v>404</v>
      </c>
      <c r="I17" t="s">
        <v>423</v>
      </c>
      <c r="M17" s="1">
        <f>AVERAGE(J17:L17)</f>
        <v>0</v>
      </c>
      <c r="N17" s="1">
        <f>M17</f>
        <v>0</v>
      </c>
      <c r="P17" s="3">
        <f>IF(OR(H17="O", NOT(ISNUMBER(M17))), "", IF(COUNTIFS(C$2:C$999, C17, H$2:H$999, H17, M$2:M$999, "&lt;"&amp;M17)+1=1, 9, IF(COUNTIFS(C$2:C$999, C17, H$2:H$999, H17, M$2:M$999, "&lt;"&amp;M17)+1&lt;=8, 10-(COUNTIFS(C$2:C$999, C17, H$2:H$999, H17, M$2:M$999, "&lt;"&amp;M17)+1)-1, "")))</f>
        <v>0</v>
      </c>
      <c r="Q17" s="3">
        <f>IF(AND(N17&lt;&gt;"", O17&lt;&gt;""), 1, "")</f>
        <v>0</v>
      </c>
    </row>
    <row r="18" spans="1:17">
      <c r="A18">
        <v>17</v>
      </c>
      <c r="B18" t="s">
        <v>18</v>
      </c>
      <c r="C18" t="s">
        <v>42</v>
      </c>
      <c r="D18" t="s">
        <v>65</v>
      </c>
      <c r="E18" t="s">
        <v>72</v>
      </c>
      <c r="F18" t="s">
        <v>97</v>
      </c>
      <c r="G18" t="s">
        <v>391</v>
      </c>
      <c r="H18" t="s">
        <v>404</v>
      </c>
      <c r="I18" t="s">
        <v>424</v>
      </c>
      <c r="M18" s="1">
        <f>AVERAGE(J18:L18)</f>
        <v>0</v>
      </c>
      <c r="N18" s="1">
        <f>M18</f>
        <v>0</v>
      </c>
      <c r="P18" s="3">
        <f>IF(OR(H18="O", NOT(ISNUMBER(M18))), "", IF(COUNTIFS(C$2:C$999, C18, H$2:H$999, H18, M$2:M$999, "&lt;"&amp;M18)+1=1, 9, IF(COUNTIFS(C$2:C$999, C18, H$2:H$999, H18, M$2:M$999, "&lt;"&amp;M18)+1&lt;=8, 10-(COUNTIFS(C$2:C$999, C18, H$2:H$999, H18, M$2:M$999, "&lt;"&amp;M18)+1)-1, "")))</f>
        <v>0</v>
      </c>
      <c r="Q18" s="3">
        <f>IF(AND(N18&lt;&gt;"", O18&lt;&gt;""), 1, "")</f>
        <v>0</v>
      </c>
    </row>
    <row r="19" spans="1:17">
      <c r="A19">
        <v>18</v>
      </c>
      <c r="B19" t="s">
        <v>18</v>
      </c>
      <c r="C19" t="s">
        <v>42</v>
      </c>
      <c r="D19" t="s">
        <v>65</v>
      </c>
      <c r="E19" t="s">
        <v>73</v>
      </c>
      <c r="F19" t="s">
        <v>98</v>
      </c>
      <c r="G19" t="s">
        <v>393</v>
      </c>
      <c r="H19" t="s">
        <v>404</v>
      </c>
      <c r="I19" t="s">
        <v>425</v>
      </c>
      <c r="M19" s="1">
        <f>AVERAGE(J19:L19)</f>
        <v>0</v>
      </c>
      <c r="N19" s="1">
        <f>M19</f>
        <v>0</v>
      </c>
      <c r="P19" s="3">
        <f>IF(OR(H19="O", NOT(ISNUMBER(M19))), "", IF(COUNTIFS(C$2:C$999, C19, H$2:H$999, H19, M$2:M$999, "&lt;"&amp;M19)+1=1, 9, IF(COUNTIFS(C$2:C$999, C19, H$2:H$999, H19, M$2:M$999, "&lt;"&amp;M19)+1&lt;=8, 10-(COUNTIFS(C$2:C$999, C19, H$2:H$999, H19, M$2:M$999, "&lt;"&amp;M19)+1)-1, "")))</f>
        <v>0</v>
      </c>
      <c r="Q19" s="3">
        <f>IF(AND(N19&lt;&gt;"", O19&lt;&gt;""), 1, "")</f>
        <v>0</v>
      </c>
    </row>
    <row r="20" spans="1:17">
      <c r="A20">
        <v>19</v>
      </c>
      <c r="B20" t="s">
        <v>18</v>
      </c>
      <c r="C20" t="s">
        <v>42</v>
      </c>
      <c r="D20" t="s">
        <v>65</v>
      </c>
      <c r="E20" t="s">
        <v>74</v>
      </c>
      <c r="F20" t="s">
        <v>99</v>
      </c>
      <c r="G20" t="s">
        <v>392</v>
      </c>
      <c r="H20" t="s">
        <v>404</v>
      </c>
      <c r="I20" t="s">
        <v>426</v>
      </c>
      <c r="M20" s="1">
        <f>AVERAGE(J20:L20)</f>
        <v>0</v>
      </c>
      <c r="N20" s="1">
        <f>M20</f>
        <v>0</v>
      </c>
      <c r="P20" s="3">
        <f>IF(OR(H20="O", NOT(ISNUMBER(M20))), "", IF(COUNTIFS(C$2:C$999, C20, H$2:H$999, H20, M$2:M$999, "&lt;"&amp;M20)+1=1, 9, IF(COUNTIFS(C$2:C$999, C20, H$2:H$999, H20, M$2:M$999, "&lt;"&amp;M20)+1&lt;=8, 10-(COUNTIFS(C$2:C$999, C20, H$2:H$999, H20, M$2:M$999, "&lt;"&amp;M20)+1)-1, "")))</f>
        <v>0</v>
      </c>
      <c r="Q20" s="3">
        <f>IF(AND(N20&lt;&gt;"", O20&lt;&gt;""), 1, "")</f>
        <v>0</v>
      </c>
    </row>
    <row r="21" spans="1:17">
      <c r="A21">
        <v>20</v>
      </c>
      <c r="B21" t="s">
        <v>18</v>
      </c>
      <c r="C21" t="s">
        <v>42</v>
      </c>
      <c r="D21" t="s">
        <v>65</v>
      </c>
      <c r="E21" t="s">
        <v>75</v>
      </c>
      <c r="F21" t="s">
        <v>100</v>
      </c>
      <c r="G21" t="s">
        <v>394</v>
      </c>
      <c r="H21" t="s">
        <v>404</v>
      </c>
      <c r="I21" t="s">
        <v>427</v>
      </c>
      <c r="M21" s="1">
        <f>AVERAGE(J21:L21)</f>
        <v>0</v>
      </c>
      <c r="N21" s="1">
        <f>M21</f>
        <v>0</v>
      </c>
      <c r="P21" s="3">
        <f>IF(OR(H21="O", NOT(ISNUMBER(M21))), "", IF(COUNTIFS(C$2:C$999, C21, H$2:H$999, H21, M$2:M$999, "&lt;"&amp;M21)+1=1, 9, IF(COUNTIFS(C$2:C$999, C21, H$2:H$999, H21, M$2:M$999, "&lt;"&amp;M21)+1&lt;=8, 10-(COUNTIFS(C$2:C$999, C21, H$2:H$999, H21, M$2:M$999, "&lt;"&amp;M21)+1)-1, "")))</f>
        <v>0</v>
      </c>
      <c r="Q21" s="3">
        <f>IF(AND(N21&lt;&gt;"", O21&lt;&gt;""), 1, "")</f>
        <v>0</v>
      </c>
    </row>
    <row r="22" spans="1:17">
      <c r="A22">
        <v>21</v>
      </c>
      <c r="B22" t="s">
        <v>18</v>
      </c>
      <c r="C22" t="s">
        <v>42</v>
      </c>
      <c r="D22" t="s">
        <v>65</v>
      </c>
      <c r="E22" t="s">
        <v>76</v>
      </c>
      <c r="F22" t="s">
        <v>101</v>
      </c>
      <c r="G22" t="s">
        <v>395</v>
      </c>
      <c r="H22" t="s">
        <v>404</v>
      </c>
      <c r="I22" t="s">
        <v>428</v>
      </c>
      <c r="M22" s="1">
        <f>AVERAGE(J22:L22)</f>
        <v>0</v>
      </c>
      <c r="N22" s="1">
        <f>M22</f>
        <v>0</v>
      </c>
      <c r="P22" s="3">
        <f>IF(OR(H22="O", NOT(ISNUMBER(M22))), "", IF(COUNTIFS(C$2:C$999, C22, H$2:H$999, H22, M$2:M$999, "&lt;"&amp;M22)+1=1, 9, IF(COUNTIFS(C$2:C$999, C22, H$2:H$999, H22, M$2:M$999, "&lt;"&amp;M22)+1&lt;=8, 10-(COUNTIFS(C$2:C$999, C22, H$2:H$999, H22, M$2:M$999, "&lt;"&amp;M22)+1)-1, "")))</f>
        <v>0</v>
      </c>
      <c r="Q22" s="3">
        <f>IF(AND(N22&lt;&gt;"", O22&lt;&gt;""), 1, "")</f>
        <v>0</v>
      </c>
    </row>
    <row r="23" spans="1:17">
      <c r="A23">
        <v>22</v>
      </c>
      <c r="B23" t="s">
        <v>18</v>
      </c>
      <c r="C23" t="s">
        <v>42</v>
      </c>
      <c r="D23" t="s">
        <v>65</v>
      </c>
      <c r="E23" t="s">
        <v>77</v>
      </c>
      <c r="F23" t="s">
        <v>102</v>
      </c>
      <c r="G23" t="s">
        <v>396</v>
      </c>
      <c r="H23" t="s">
        <v>404</v>
      </c>
      <c r="I23" t="s">
        <v>429</v>
      </c>
      <c r="M23" s="1">
        <f>AVERAGE(J23:L23)</f>
        <v>0</v>
      </c>
      <c r="N23" s="1">
        <f>M23</f>
        <v>0</v>
      </c>
      <c r="P23" s="3">
        <f>IF(OR(H23="O", NOT(ISNUMBER(M23))), "", IF(COUNTIFS(C$2:C$999, C23, H$2:H$999, H23, M$2:M$999, "&lt;"&amp;M23)+1=1, 9, IF(COUNTIFS(C$2:C$999, C23, H$2:H$999, H23, M$2:M$999, "&lt;"&amp;M23)+1&lt;=8, 10-(COUNTIFS(C$2:C$999, C23, H$2:H$999, H23, M$2:M$999, "&lt;"&amp;M23)+1)-1, "")))</f>
        <v>0</v>
      </c>
      <c r="Q23" s="3">
        <f>IF(AND(N23&lt;&gt;"", O23&lt;&gt;""), 1, "")</f>
        <v>0</v>
      </c>
    </row>
    <row r="24" spans="1:17">
      <c r="A24">
        <v>23</v>
      </c>
      <c r="B24" t="s">
        <v>18</v>
      </c>
      <c r="C24" t="s">
        <v>42</v>
      </c>
      <c r="D24" t="s">
        <v>66</v>
      </c>
      <c r="E24" t="s">
        <v>71</v>
      </c>
      <c r="F24" t="s">
        <v>103</v>
      </c>
      <c r="G24" t="s">
        <v>397</v>
      </c>
      <c r="H24" t="s">
        <v>404</v>
      </c>
      <c r="I24" t="s">
        <v>430</v>
      </c>
      <c r="M24" s="1">
        <f>AVERAGE(J24:L24)</f>
        <v>0</v>
      </c>
      <c r="N24" s="1">
        <f>M24</f>
        <v>0</v>
      </c>
      <c r="P24" s="3">
        <f>IF(OR(H24="O", NOT(ISNUMBER(M24))), "", IF(COUNTIFS(C$2:C$999, C24, H$2:H$999, H24, M$2:M$999, "&lt;"&amp;M24)+1=1, 9, IF(COUNTIFS(C$2:C$999, C24, H$2:H$999, H24, M$2:M$999, "&lt;"&amp;M24)+1&lt;=8, 10-(COUNTIFS(C$2:C$999, C24, H$2:H$999, H24, M$2:M$999, "&lt;"&amp;M24)+1)-1, "")))</f>
        <v>0</v>
      </c>
      <c r="Q24" s="3">
        <f>IF(AND(N24&lt;&gt;"", O24&lt;&gt;""), 1, "")</f>
        <v>0</v>
      </c>
    </row>
    <row r="25" spans="1:17">
      <c r="A25">
        <v>24</v>
      </c>
      <c r="B25" t="s">
        <v>18</v>
      </c>
      <c r="C25" t="s">
        <v>42</v>
      </c>
      <c r="D25" t="s">
        <v>66</v>
      </c>
      <c r="E25" t="s">
        <v>72</v>
      </c>
      <c r="F25" t="s">
        <v>104</v>
      </c>
      <c r="G25" t="s">
        <v>391</v>
      </c>
      <c r="H25" t="s">
        <v>406</v>
      </c>
      <c r="I25" t="s">
        <v>431</v>
      </c>
      <c r="M25" s="1">
        <f>AVERAGE(J25:L25)</f>
        <v>0</v>
      </c>
      <c r="N25" s="1">
        <f>M25</f>
        <v>0</v>
      </c>
      <c r="P25" s="3">
        <f>IF(OR(H25="O", NOT(ISNUMBER(M25))), "", IF(COUNTIFS(C$2:C$999, C25, H$2:H$999, H25, M$2:M$999, "&lt;"&amp;M25)+1=1, 9, IF(COUNTIFS(C$2:C$999, C25, H$2:H$999, H25, M$2:M$999, "&lt;"&amp;M25)+1&lt;=8, 10-(COUNTIFS(C$2:C$999, C25, H$2:H$999, H25, M$2:M$999, "&lt;"&amp;M25)+1)-1, "")))</f>
        <v>0</v>
      </c>
      <c r="Q25" s="3">
        <f>IF(AND(N25&lt;&gt;"", O25&lt;&gt;""), 1, "")</f>
        <v>0</v>
      </c>
    </row>
    <row r="26" spans="1:17">
      <c r="A26">
        <v>25</v>
      </c>
      <c r="B26" t="s">
        <v>18</v>
      </c>
      <c r="C26" t="s">
        <v>42</v>
      </c>
      <c r="D26" t="s">
        <v>66</v>
      </c>
      <c r="E26" t="s">
        <v>73</v>
      </c>
      <c r="F26" t="s">
        <v>105</v>
      </c>
      <c r="G26" t="s">
        <v>393</v>
      </c>
      <c r="H26" t="s">
        <v>405</v>
      </c>
      <c r="I26" t="s">
        <v>432</v>
      </c>
      <c r="M26" s="1">
        <f>AVERAGE(J26:L26)</f>
        <v>0</v>
      </c>
      <c r="N26" s="1">
        <f>M26</f>
        <v>0</v>
      </c>
      <c r="P26" s="3">
        <f>IF(OR(H26="O", NOT(ISNUMBER(M26))), "", IF(COUNTIFS(C$2:C$999, C26, H$2:H$999, H26, M$2:M$999, "&lt;"&amp;M26)+1=1, 9, IF(COUNTIFS(C$2:C$999, C26, H$2:H$999, H26, M$2:M$999, "&lt;"&amp;M26)+1&lt;=8, 10-(COUNTIFS(C$2:C$999, C26, H$2:H$999, H26, M$2:M$999, "&lt;"&amp;M26)+1)-1, "")))</f>
        <v>0</v>
      </c>
      <c r="Q26" s="3">
        <f>IF(AND(N26&lt;&gt;"", O26&lt;&gt;""), 1, "")</f>
        <v>0</v>
      </c>
    </row>
    <row r="27" spans="1:17">
      <c r="A27">
        <v>26</v>
      </c>
      <c r="B27" t="s">
        <v>18</v>
      </c>
      <c r="C27" t="s">
        <v>42</v>
      </c>
      <c r="D27" t="s">
        <v>66</v>
      </c>
      <c r="E27" t="s">
        <v>74</v>
      </c>
      <c r="F27" t="s">
        <v>106</v>
      </c>
      <c r="G27" t="s">
        <v>399</v>
      </c>
      <c r="H27" t="s">
        <v>405</v>
      </c>
      <c r="I27" t="s">
        <v>433</v>
      </c>
      <c r="M27" s="1">
        <f>AVERAGE(J27:L27)</f>
        <v>0</v>
      </c>
      <c r="N27" s="1">
        <f>M27</f>
        <v>0</v>
      </c>
      <c r="P27" s="3">
        <f>IF(OR(H27="O", NOT(ISNUMBER(M27))), "", IF(COUNTIFS(C$2:C$999, C27, H$2:H$999, H27, M$2:M$999, "&lt;"&amp;M27)+1=1, 9, IF(COUNTIFS(C$2:C$999, C27, H$2:H$999, H27, M$2:M$999, "&lt;"&amp;M27)+1&lt;=8, 10-(COUNTIFS(C$2:C$999, C27, H$2:H$999, H27, M$2:M$999, "&lt;"&amp;M27)+1)-1, "")))</f>
        <v>0</v>
      </c>
      <c r="Q27" s="3">
        <f>IF(AND(N27&lt;&gt;"", O27&lt;&gt;""), 1, "")</f>
        <v>0</v>
      </c>
    </row>
    <row r="28" spans="1:17">
      <c r="A28">
        <v>27</v>
      </c>
      <c r="B28" t="s">
        <v>18</v>
      </c>
      <c r="C28" t="s">
        <v>42</v>
      </c>
      <c r="D28" t="s">
        <v>66</v>
      </c>
      <c r="E28" t="s">
        <v>75</v>
      </c>
      <c r="F28" t="s">
        <v>107</v>
      </c>
      <c r="G28" t="s">
        <v>396</v>
      </c>
      <c r="H28" t="s">
        <v>406</v>
      </c>
      <c r="I28" t="s">
        <v>434</v>
      </c>
      <c r="M28" s="1">
        <f>AVERAGE(J28:L28)</f>
        <v>0</v>
      </c>
      <c r="N28" s="1">
        <f>M28</f>
        <v>0</v>
      </c>
      <c r="P28" s="3">
        <f>IF(OR(H28="O", NOT(ISNUMBER(M28))), "", IF(COUNTIFS(C$2:C$999, C28, H$2:H$999, H28, M$2:M$999, "&lt;"&amp;M28)+1=1, 9, IF(COUNTIFS(C$2:C$999, C28, H$2:H$999, H28, M$2:M$999, "&lt;"&amp;M28)+1&lt;=8, 10-(COUNTIFS(C$2:C$999, C28, H$2:H$999, H28, M$2:M$999, "&lt;"&amp;M28)+1)-1, "")))</f>
        <v>0</v>
      </c>
      <c r="Q28" s="3">
        <f>IF(AND(N28&lt;&gt;"", O28&lt;&gt;""), 1, "")</f>
        <v>0</v>
      </c>
    </row>
    <row r="29" spans="1:17">
      <c r="A29">
        <v>28</v>
      </c>
      <c r="B29" t="s">
        <v>18</v>
      </c>
      <c r="C29" t="s">
        <v>42</v>
      </c>
      <c r="D29" t="s">
        <v>66</v>
      </c>
      <c r="E29" t="s">
        <v>76</v>
      </c>
      <c r="F29" t="s">
        <v>108</v>
      </c>
      <c r="G29" t="s">
        <v>402</v>
      </c>
      <c r="H29" t="s">
        <v>406</v>
      </c>
      <c r="I29" t="s">
        <v>435</v>
      </c>
      <c r="M29" s="1">
        <f>AVERAGE(J29:L29)</f>
        <v>0</v>
      </c>
      <c r="N29" s="1">
        <f>M29</f>
        <v>0</v>
      </c>
      <c r="P29" s="3">
        <f>IF(OR(H29="O", NOT(ISNUMBER(M29))), "", IF(COUNTIFS(C$2:C$999, C29, H$2:H$999, H29, M$2:M$999, "&lt;"&amp;M29)+1=1, 9, IF(COUNTIFS(C$2:C$999, C29, H$2:H$999, H29, M$2:M$999, "&lt;"&amp;M29)+1&lt;=8, 10-(COUNTIFS(C$2:C$999, C29, H$2:H$999, H29, M$2:M$999, "&lt;"&amp;M29)+1)-1, "")))</f>
        <v>0</v>
      </c>
      <c r="Q29" s="3">
        <f>IF(AND(N29&lt;&gt;"", O29&lt;&gt;""), 1, "")</f>
        <v>0</v>
      </c>
    </row>
    <row r="30" spans="1:17">
      <c r="A30">
        <v>29</v>
      </c>
      <c r="B30" t="s">
        <v>18</v>
      </c>
      <c r="C30" t="s">
        <v>42</v>
      </c>
      <c r="D30" t="s">
        <v>66</v>
      </c>
      <c r="E30" t="s">
        <v>77</v>
      </c>
      <c r="F30" t="s">
        <v>109</v>
      </c>
      <c r="G30" t="s">
        <v>402</v>
      </c>
      <c r="H30" t="s">
        <v>405</v>
      </c>
      <c r="I30" t="s">
        <v>436</v>
      </c>
      <c r="M30" s="1">
        <f>AVERAGE(J30:L30)</f>
        <v>0</v>
      </c>
      <c r="N30" s="1">
        <f>M30</f>
        <v>0</v>
      </c>
      <c r="P30" s="3">
        <f>IF(OR(H30="O", NOT(ISNUMBER(M30))), "", IF(COUNTIFS(C$2:C$999, C30, H$2:H$999, H30, M$2:M$999, "&lt;"&amp;M30)+1=1, 9, IF(COUNTIFS(C$2:C$999, C30, H$2:H$999, H30, M$2:M$999, "&lt;"&amp;M30)+1&lt;=8, 10-(COUNTIFS(C$2:C$999, C30, H$2:H$999, H30, M$2:M$999, "&lt;"&amp;M30)+1)-1, "")))</f>
        <v>0</v>
      </c>
      <c r="Q30" s="3">
        <f>IF(AND(N30&lt;&gt;"", O30&lt;&gt;""), 1, "")</f>
        <v>0</v>
      </c>
    </row>
    <row r="31" spans="1:17">
      <c r="A31">
        <v>30</v>
      </c>
      <c r="B31" t="s">
        <v>18</v>
      </c>
      <c r="C31" t="s">
        <v>42</v>
      </c>
      <c r="D31" t="s">
        <v>67</v>
      </c>
      <c r="E31" t="s">
        <v>71</v>
      </c>
      <c r="F31" t="s">
        <v>110</v>
      </c>
      <c r="G31" t="s">
        <v>400</v>
      </c>
      <c r="H31" t="s">
        <v>406</v>
      </c>
      <c r="I31" t="s">
        <v>437</v>
      </c>
      <c r="M31" s="1">
        <f>AVERAGE(J31:L31)</f>
        <v>0</v>
      </c>
      <c r="N31" s="1">
        <f>M31</f>
        <v>0</v>
      </c>
      <c r="P31" s="3">
        <f>IF(OR(H31="O", NOT(ISNUMBER(M31))), "", IF(COUNTIFS(C$2:C$999, C31, H$2:H$999, H31, M$2:M$999, "&lt;"&amp;M31)+1=1, 9, IF(COUNTIFS(C$2:C$999, C31, H$2:H$999, H31, M$2:M$999, "&lt;"&amp;M31)+1&lt;=8, 10-(COUNTIFS(C$2:C$999, C31, H$2:H$999, H31, M$2:M$999, "&lt;"&amp;M31)+1)-1, "")))</f>
        <v>0</v>
      </c>
      <c r="Q31" s="3">
        <f>IF(AND(N31&lt;&gt;"", O31&lt;&gt;""), 1, "")</f>
        <v>0</v>
      </c>
    </row>
    <row r="32" spans="1:17">
      <c r="A32">
        <v>31</v>
      </c>
      <c r="B32" t="s">
        <v>18</v>
      </c>
      <c r="C32" t="s">
        <v>42</v>
      </c>
      <c r="D32" t="s">
        <v>67</v>
      </c>
      <c r="E32" t="s">
        <v>72</v>
      </c>
      <c r="F32" t="s">
        <v>111</v>
      </c>
      <c r="G32" t="s">
        <v>398</v>
      </c>
      <c r="H32" t="s">
        <v>406</v>
      </c>
      <c r="I32" t="s">
        <v>438</v>
      </c>
      <c r="M32" s="1">
        <f>AVERAGE(J32:L32)</f>
        <v>0</v>
      </c>
      <c r="N32" s="1">
        <f>M32</f>
        <v>0</v>
      </c>
      <c r="P32" s="3">
        <f>IF(OR(H32="O", NOT(ISNUMBER(M32))), "", IF(COUNTIFS(C$2:C$999, C32, H$2:H$999, H32, M$2:M$999, "&lt;"&amp;M32)+1=1, 9, IF(COUNTIFS(C$2:C$999, C32, H$2:H$999, H32, M$2:M$999, "&lt;"&amp;M32)+1&lt;=8, 10-(COUNTIFS(C$2:C$999, C32, H$2:H$999, H32, M$2:M$999, "&lt;"&amp;M32)+1)-1, "")))</f>
        <v>0</v>
      </c>
      <c r="Q32" s="3">
        <f>IF(AND(N32&lt;&gt;"", O32&lt;&gt;""), 1, "")</f>
        <v>0</v>
      </c>
    </row>
    <row r="33" spans="1:17">
      <c r="A33">
        <v>32</v>
      </c>
      <c r="B33" t="s">
        <v>18</v>
      </c>
      <c r="C33" t="s">
        <v>42</v>
      </c>
      <c r="D33" t="s">
        <v>67</v>
      </c>
      <c r="E33" t="s">
        <v>73</v>
      </c>
      <c r="F33" t="s">
        <v>112</v>
      </c>
      <c r="G33" t="s">
        <v>390</v>
      </c>
      <c r="H33" t="s">
        <v>406</v>
      </c>
      <c r="I33" t="s">
        <v>439</v>
      </c>
      <c r="M33" s="1">
        <f>AVERAGE(J33:L33)</f>
        <v>0</v>
      </c>
      <c r="N33" s="1">
        <f>M33</f>
        <v>0</v>
      </c>
      <c r="P33" s="3">
        <f>IF(OR(H33="O", NOT(ISNUMBER(M33))), "", IF(COUNTIFS(C$2:C$999, C33, H$2:H$999, H33, M$2:M$999, "&lt;"&amp;M33)+1=1, 9, IF(COUNTIFS(C$2:C$999, C33, H$2:H$999, H33, M$2:M$999, "&lt;"&amp;M33)+1&lt;=8, 10-(COUNTIFS(C$2:C$999, C33, H$2:H$999, H33, M$2:M$999, "&lt;"&amp;M33)+1)-1, "")))</f>
        <v>0</v>
      </c>
      <c r="Q33" s="3">
        <f>IF(AND(N33&lt;&gt;"", O33&lt;&gt;""), 1, "")</f>
        <v>0</v>
      </c>
    </row>
    <row r="34" spans="1:17">
      <c r="A34">
        <v>33</v>
      </c>
      <c r="B34" t="s">
        <v>18</v>
      </c>
      <c r="C34" t="s">
        <v>42</v>
      </c>
      <c r="D34" t="s">
        <v>67</v>
      </c>
      <c r="E34" t="s">
        <v>74</v>
      </c>
      <c r="F34" t="s">
        <v>113</v>
      </c>
      <c r="G34" t="s">
        <v>401</v>
      </c>
      <c r="H34" t="s">
        <v>406</v>
      </c>
      <c r="I34" t="s">
        <v>440</v>
      </c>
      <c r="M34" s="1">
        <f>AVERAGE(J34:L34)</f>
        <v>0</v>
      </c>
      <c r="N34" s="1">
        <f>M34</f>
        <v>0</v>
      </c>
      <c r="P34" s="3">
        <f>IF(OR(H34="O", NOT(ISNUMBER(M34))), "", IF(COUNTIFS(C$2:C$999, C34, H$2:H$999, H34, M$2:M$999, "&lt;"&amp;M34)+1=1, 9, IF(COUNTIFS(C$2:C$999, C34, H$2:H$999, H34, M$2:M$999, "&lt;"&amp;M34)+1&lt;=8, 10-(COUNTIFS(C$2:C$999, C34, H$2:H$999, H34, M$2:M$999, "&lt;"&amp;M34)+1)-1, "")))</f>
        <v>0</v>
      </c>
      <c r="Q34" s="3">
        <f>IF(AND(N34&lt;&gt;"", O34&lt;&gt;""), 1, "")</f>
        <v>0</v>
      </c>
    </row>
    <row r="35" spans="1:17">
      <c r="A35">
        <v>34</v>
      </c>
      <c r="B35" t="s">
        <v>18</v>
      </c>
      <c r="C35" t="s">
        <v>42</v>
      </c>
      <c r="D35" t="s">
        <v>67</v>
      </c>
      <c r="E35" t="s">
        <v>75</v>
      </c>
      <c r="F35" t="s">
        <v>114</v>
      </c>
      <c r="G35" t="s">
        <v>394</v>
      </c>
      <c r="H35" t="s">
        <v>406</v>
      </c>
      <c r="I35" t="s">
        <v>441</v>
      </c>
      <c r="M35" s="1">
        <f>AVERAGE(J35:L35)</f>
        <v>0</v>
      </c>
      <c r="N35" s="1">
        <f>M35</f>
        <v>0</v>
      </c>
      <c r="P35" s="3">
        <f>IF(OR(H35="O", NOT(ISNUMBER(M35))), "", IF(COUNTIFS(C$2:C$999, C35, H$2:H$999, H35, M$2:M$999, "&lt;"&amp;M35)+1=1, 9, IF(COUNTIFS(C$2:C$999, C35, H$2:H$999, H35, M$2:M$999, "&lt;"&amp;M35)+1&lt;=8, 10-(COUNTIFS(C$2:C$999, C35, H$2:H$999, H35, M$2:M$999, "&lt;"&amp;M35)+1)-1, "")))</f>
        <v>0</v>
      </c>
      <c r="Q35" s="3">
        <f>IF(AND(N35&lt;&gt;"", O35&lt;&gt;""), 1, "")</f>
        <v>0</v>
      </c>
    </row>
    <row r="36" spans="1:17">
      <c r="A36">
        <v>35</v>
      </c>
      <c r="B36" t="s">
        <v>18</v>
      </c>
      <c r="C36" t="s">
        <v>42</v>
      </c>
      <c r="D36" t="s">
        <v>67</v>
      </c>
      <c r="E36" t="s">
        <v>76</v>
      </c>
      <c r="F36" t="s">
        <v>115</v>
      </c>
      <c r="G36" t="s">
        <v>399</v>
      </c>
      <c r="H36" t="s">
        <v>405</v>
      </c>
      <c r="I36" t="s">
        <v>442</v>
      </c>
      <c r="M36" s="1">
        <f>AVERAGE(J36:L36)</f>
        <v>0</v>
      </c>
      <c r="N36" s="1">
        <f>M36</f>
        <v>0</v>
      </c>
      <c r="P36" s="3">
        <f>IF(OR(H36="O", NOT(ISNUMBER(M36))), "", IF(COUNTIFS(C$2:C$999, C36, H$2:H$999, H36, M$2:M$999, "&lt;"&amp;M36)+1=1, 9, IF(COUNTIFS(C$2:C$999, C36, H$2:H$999, H36, M$2:M$999, "&lt;"&amp;M36)+1&lt;=8, 10-(COUNTIFS(C$2:C$999, C36, H$2:H$999, H36, M$2:M$999, "&lt;"&amp;M36)+1)-1, "")))</f>
        <v>0</v>
      </c>
      <c r="Q36" s="3">
        <f>IF(AND(N36&lt;&gt;"", O36&lt;&gt;""), 1, "")</f>
        <v>0</v>
      </c>
    </row>
    <row r="37" spans="1:17">
      <c r="A37">
        <v>36</v>
      </c>
      <c r="B37" t="s">
        <v>18</v>
      </c>
      <c r="C37" t="s">
        <v>42</v>
      </c>
      <c r="D37" t="s">
        <v>67</v>
      </c>
      <c r="E37" t="s">
        <v>77</v>
      </c>
      <c r="F37" t="s">
        <v>116</v>
      </c>
      <c r="G37" t="s">
        <v>399</v>
      </c>
      <c r="H37" t="s">
        <v>406</v>
      </c>
      <c r="I37" t="s">
        <v>443</v>
      </c>
      <c r="M37" s="1">
        <f>AVERAGE(J37:L37)</f>
        <v>0</v>
      </c>
      <c r="N37" s="1">
        <f>M37</f>
        <v>0</v>
      </c>
      <c r="P37" s="3">
        <f>IF(OR(H37="O", NOT(ISNUMBER(M37))), "", IF(COUNTIFS(C$2:C$999, C37, H$2:H$999, H37, M$2:M$999, "&lt;"&amp;M37)+1=1, 9, IF(COUNTIFS(C$2:C$999, C37, H$2:H$999, H37, M$2:M$999, "&lt;"&amp;M37)+1&lt;=8, 10-(COUNTIFS(C$2:C$999, C37, H$2:H$999, H37, M$2:M$999, "&lt;"&amp;M37)+1)-1, "")))</f>
        <v>0</v>
      </c>
      <c r="Q37" s="3">
        <f>IF(AND(N37&lt;&gt;"", O37&lt;&gt;""), 1, "")</f>
        <v>0</v>
      </c>
    </row>
    <row r="38" spans="1:17">
      <c r="A38">
        <v>37</v>
      </c>
      <c r="B38" t="s">
        <v>19</v>
      </c>
      <c r="C38" t="s">
        <v>43</v>
      </c>
      <c r="D38" t="s">
        <v>65</v>
      </c>
      <c r="E38" t="s">
        <v>71</v>
      </c>
      <c r="F38" t="s">
        <v>117</v>
      </c>
      <c r="G38" t="s">
        <v>390</v>
      </c>
      <c r="H38" t="s">
        <v>404</v>
      </c>
      <c r="I38" t="s">
        <v>444</v>
      </c>
      <c r="M38" s="1">
        <f>AVERAGE(J38:L38)</f>
        <v>0</v>
      </c>
      <c r="N38" s="1">
        <f>M38</f>
        <v>0</v>
      </c>
      <c r="P38" s="3">
        <f>IF(OR(H38="O", NOT(ISNUMBER(M38))), "", IF(COUNTIFS(C$2:C$999, C38, H$2:H$999, H38, M$2:M$999, "&lt;"&amp;M38)+1=1, 9, IF(COUNTIFS(C$2:C$999, C38, H$2:H$999, H38, M$2:M$999, "&lt;"&amp;M38)+1&lt;=8, 10-(COUNTIFS(C$2:C$999, C38, H$2:H$999, H38, M$2:M$999, "&lt;"&amp;M38)+1)-1, "")))</f>
        <v>0</v>
      </c>
      <c r="Q38" s="3">
        <f>IF(AND(N38&lt;&gt;"", O38&lt;&gt;""), 1, "")</f>
        <v>0</v>
      </c>
    </row>
    <row r="39" spans="1:17">
      <c r="A39">
        <v>38</v>
      </c>
      <c r="B39" t="s">
        <v>19</v>
      </c>
      <c r="C39" t="s">
        <v>43</v>
      </c>
      <c r="D39" t="s">
        <v>65</v>
      </c>
      <c r="E39" t="s">
        <v>72</v>
      </c>
      <c r="F39" t="s">
        <v>118</v>
      </c>
      <c r="G39" t="s">
        <v>391</v>
      </c>
      <c r="H39" t="s">
        <v>404</v>
      </c>
      <c r="I39" t="s">
        <v>445</v>
      </c>
      <c r="M39" s="1">
        <f>AVERAGE(J39:L39)</f>
        <v>0</v>
      </c>
      <c r="N39" s="1">
        <f>M39</f>
        <v>0</v>
      </c>
      <c r="P39" s="3">
        <f>IF(OR(H39="O", NOT(ISNUMBER(M39))), "", IF(COUNTIFS(C$2:C$999, C39, H$2:H$999, H39, M$2:M$999, "&lt;"&amp;M39)+1=1, 9, IF(COUNTIFS(C$2:C$999, C39, H$2:H$999, H39, M$2:M$999, "&lt;"&amp;M39)+1&lt;=8, 10-(COUNTIFS(C$2:C$999, C39, H$2:H$999, H39, M$2:M$999, "&lt;"&amp;M39)+1)-1, "")))</f>
        <v>0</v>
      </c>
      <c r="Q39" s="3">
        <f>IF(AND(N39&lt;&gt;"", O39&lt;&gt;""), 1, "")</f>
        <v>0</v>
      </c>
    </row>
    <row r="40" spans="1:17">
      <c r="A40">
        <v>39</v>
      </c>
      <c r="B40" t="s">
        <v>19</v>
      </c>
      <c r="C40" t="s">
        <v>43</v>
      </c>
      <c r="D40" t="s">
        <v>65</v>
      </c>
      <c r="E40" t="s">
        <v>73</v>
      </c>
      <c r="F40" t="s">
        <v>119</v>
      </c>
      <c r="G40" t="s">
        <v>393</v>
      </c>
      <c r="H40" t="s">
        <v>404</v>
      </c>
      <c r="I40" t="s">
        <v>446</v>
      </c>
      <c r="M40" s="1">
        <f>AVERAGE(J40:L40)</f>
        <v>0</v>
      </c>
      <c r="N40" s="1">
        <f>M40</f>
        <v>0</v>
      </c>
      <c r="P40" s="3">
        <f>IF(OR(H40="O", NOT(ISNUMBER(M40))), "", IF(COUNTIFS(C$2:C$999, C40, H$2:H$999, H40, M$2:M$999, "&lt;"&amp;M40)+1=1, 9, IF(COUNTIFS(C$2:C$999, C40, H$2:H$999, H40, M$2:M$999, "&lt;"&amp;M40)+1&lt;=8, 10-(COUNTIFS(C$2:C$999, C40, H$2:H$999, H40, M$2:M$999, "&lt;"&amp;M40)+1)-1, "")))</f>
        <v>0</v>
      </c>
      <c r="Q40" s="3">
        <f>IF(AND(N40&lt;&gt;"", O40&lt;&gt;""), 1, "")</f>
        <v>0</v>
      </c>
    </row>
    <row r="41" spans="1:17">
      <c r="A41">
        <v>40</v>
      </c>
      <c r="B41" t="s">
        <v>19</v>
      </c>
      <c r="C41" t="s">
        <v>43</v>
      </c>
      <c r="D41" t="s">
        <v>65</v>
      </c>
      <c r="E41" t="s">
        <v>74</v>
      </c>
      <c r="F41" t="s">
        <v>120</v>
      </c>
      <c r="G41" t="s">
        <v>392</v>
      </c>
      <c r="H41" t="s">
        <v>404</v>
      </c>
      <c r="I41" t="s">
        <v>447</v>
      </c>
      <c r="M41" s="1">
        <f>AVERAGE(J41:L41)</f>
        <v>0</v>
      </c>
      <c r="N41" s="1">
        <f>M41</f>
        <v>0</v>
      </c>
      <c r="P41" s="3">
        <f>IF(OR(H41="O", NOT(ISNUMBER(M41))), "", IF(COUNTIFS(C$2:C$999, C41, H$2:H$999, H41, M$2:M$999, "&lt;"&amp;M41)+1=1, 9, IF(COUNTIFS(C$2:C$999, C41, H$2:H$999, H41, M$2:M$999, "&lt;"&amp;M41)+1&lt;=8, 10-(COUNTIFS(C$2:C$999, C41, H$2:H$999, H41, M$2:M$999, "&lt;"&amp;M41)+1)-1, "")))</f>
        <v>0</v>
      </c>
      <c r="Q41" s="3">
        <f>IF(AND(N41&lt;&gt;"", O41&lt;&gt;""), 1, "")</f>
        <v>0</v>
      </c>
    </row>
    <row r="42" spans="1:17">
      <c r="A42">
        <v>41</v>
      </c>
      <c r="B42" t="s">
        <v>19</v>
      </c>
      <c r="C42" t="s">
        <v>43</v>
      </c>
      <c r="D42" t="s">
        <v>65</v>
      </c>
      <c r="E42" t="s">
        <v>75</v>
      </c>
      <c r="F42" t="s">
        <v>121</v>
      </c>
      <c r="G42" t="s">
        <v>394</v>
      </c>
      <c r="H42" t="s">
        <v>404</v>
      </c>
      <c r="I42" t="s">
        <v>448</v>
      </c>
      <c r="M42" s="1">
        <f>AVERAGE(J42:L42)</f>
        <v>0</v>
      </c>
      <c r="N42" s="1">
        <f>M42</f>
        <v>0</v>
      </c>
      <c r="P42" s="3">
        <f>IF(OR(H42="O", NOT(ISNUMBER(M42))), "", IF(COUNTIFS(C$2:C$999, C42, H$2:H$999, H42, M$2:M$999, "&lt;"&amp;M42)+1=1, 9, IF(COUNTIFS(C$2:C$999, C42, H$2:H$999, H42, M$2:M$999, "&lt;"&amp;M42)+1&lt;=8, 10-(COUNTIFS(C$2:C$999, C42, H$2:H$999, H42, M$2:M$999, "&lt;"&amp;M42)+1)-1, "")))</f>
        <v>0</v>
      </c>
      <c r="Q42" s="3">
        <f>IF(AND(N42&lt;&gt;"", O42&lt;&gt;""), 1, "")</f>
        <v>0</v>
      </c>
    </row>
    <row r="43" spans="1:17">
      <c r="A43">
        <v>42</v>
      </c>
      <c r="B43" t="s">
        <v>19</v>
      </c>
      <c r="C43" t="s">
        <v>43</v>
      </c>
      <c r="D43" t="s">
        <v>65</v>
      </c>
      <c r="E43" t="s">
        <v>76</v>
      </c>
      <c r="F43" t="s">
        <v>122</v>
      </c>
      <c r="G43" t="s">
        <v>395</v>
      </c>
      <c r="H43" t="s">
        <v>404</v>
      </c>
      <c r="I43" t="s">
        <v>449</v>
      </c>
      <c r="M43" s="1">
        <f>AVERAGE(J43:L43)</f>
        <v>0</v>
      </c>
      <c r="N43" s="1">
        <f>M43</f>
        <v>0</v>
      </c>
      <c r="P43" s="3">
        <f>IF(OR(H43="O", NOT(ISNUMBER(M43))), "", IF(COUNTIFS(C$2:C$999, C43, H$2:H$999, H43, M$2:M$999, "&lt;"&amp;M43)+1=1, 9, IF(COUNTIFS(C$2:C$999, C43, H$2:H$999, H43, M$2:M$999, "&lt;"&amp;M43)+1&lt;=8, 10-(COUNTIFS(C$2:C$999, C43, H$2:H$999, H43, M$2:M$999, "&lt;"&amp;M43)+1)-1, "")))</f>
        <v>0</v>
      </c>
      <c r="Q43" s="3">
        <f>IF(AND(N43&lt;&gt;"", O43&lt;&gt;""), 1, "")</f>
        <v>0</v>
      </c>
    </row>
    <row r="44" spans="1:17">
      <c r="A44">
        <v>43</v>
      </c>
      <c r="B44" t="s">
        <v>19</v>
      </c>
      <c r="C44" t="s">
        <v>43</v>
      </c>
      <c r="D44" t="s">
        <v>65</v>
      </c>
      <c r="E44" t="s">
        <v>77</v>
      </c>
      <c r="F44" t="s">
        <v>123</v>
      </c>
      <c r="G44" t="s">
        <v>396</v>
      </c>
      <c r="H44" t="s">
        <v>404</v>
      </c>
      <c r="I44" t="s">
        <v>450</v>
      </c>
      <c r="M44" s="1">
        <f>AVERAGE(J44:L44)</f>
        <v>0</v>
      </c>
      <c r="N44" s="1">
        <f>M44</f>
        <v>0</v>
      </c>
      <c r="P44" s="3">
        <f>IF(OR(H44="O", NOT(ISNUMBER(M44))), "", IF(COUNTIFS(C$2:C$999, C44, H$2:H$999, H44, M$2:M$999, "&lt;"&amp;M44)+1=1, 9, IF(COUNTIFS(C$2:C$999, C44, H$2:H$999, H44, M$2:M$999, "&lt;"&amp;M44)+1&lt;=8, 10-(COUNTIFS(C$2:C$999, C44, H$2:H$999, H44, M$2:M$999, "&lt;"&amp;M44)+1)-1, "")))</f>
        <v>0</v>
      </c>
      <c r="Q44" s="3">
        <f>IF(AND(N44&lt;&gt;"", O44&lt;&gt;""), 1, "")</f>
        <v>0</v>
      </c>
    </row>
    <row r="45" spans="1:17">
      <c r="A45">
        <v>44</v>
      </c>
      <c r="B45" t="s">
        <v>19</v>
      </c>
      <c r="C45" t="s">
        <v>43</v>
      </c>
      <c r="D45" t="s">
        <v>65</v>
      </c>
      <c r="E45" t="s">
        <v>78</v>
      </c>
      <c r="F45" t="s">
        <v>124</v>
      </c>
      <c r="G45" t="s">
        <v>397</v>
      </c>
      <c r="H45" t="s">
        <v>404</v>
      </c>
      <c r="I45" t="s">
        <v>451</v>
      </c>
      <c r="M45" s="1">
        <f>AVERAGE(J45:L45)</f>
        <v>0</v>
      </c>
      <c r="N45" s="1">
        <f>M45</f>
        <v>0</v>
      </c>
      <c r="P45" s="3">
        <f>IF(OR(H45="O", NOT(ISNUMBER(M45))), "", IF(COUNTIFS(C$2:C$999, C45, H$2:H$999, H45, M$2:M$999, "&lt;"&amp;M45)+1=1, 9, IF(COUNTIFS(C$2:C$999, C45, H$2:H$999, H45, M$2:M$999, "&lt;"&amp;M45)+1&lt;=8, 10-(COUNTIFS(C$2:C$999, C45, H$2:H$999, H45, M$2:M$999, "&lt;"&amp;M45)+1)-1, "")))</f>
        <v>0</v>
      </c>
      <c r="Q45" s="3">
        <f>IF(AND(N45&lt;&gt;"", O45&lt;&gt;""), 1, "")</f>
        <v>0</v>
      </c>
    </row>
    <row r="46" spans="1:17">
      <c r="A46">
        <v>45</v>
      </c>
      <c r="B46" t="s">
        <v>19</v>
      </c>
      <c r="C46" t="s">
        <v>43</v>
      </c>
      <c r="D46" t="s">
        <v>66</v>
      </c>
      <c r="E46" t="s">
        <v>71</v>
      </c>
      <c r="F46" t="s">
        <v>125</v>
      </c>
      <c r="G46" t="s">
        <v>392</v>
      </c>
      <c r="H46" t="s">
        <v>406</v>
      </c>
      <c r="I46" t="s">
        <v>452</v>
      </c>
      <c r="M46" s="1">
        <f>AVERAGE(J46:L46)</f>
        <v>0</v>
      </c>
      <c r="N46" s="1">
        <f>M46</f>
        <v>0</v>
      </c>
      <c r="P46" s="3">
        <f>IF(OR(H46="O", NOT(ISNUMBER(M46))), "", IF(COUNTIFS(C$2:C$999, C46, H$2:H$999, H46, M$2:M$999, "&lt;"&amp;M46)+1=1, 9, IF(COUNTIFS(C$2:C$999, C46, H$2:H$999, H46, M$2:M$999, "&lt;"&amp;M46)+1&lt;=8, 10-(COUNTIFS(C$2:C$999, C46, H$2:H$999, H46, M$2:M$999, "&lt;"&amp;M46)+1)-1, "")))</f>
        <v>0</v>
      </c>
      <c r="Q46" s="3">
        <f>IF(AND(N46&lt;&gt;"", O46&lt;&gt;""), 1, "")</f>
        <v>0</v>
      </c>
    </row>
    <row r="47" spans="1:17">
      <c r="A47">
        <v>46</v>
      </c>
      <c r="B47" t="s">
        <v>19</v>
      </c>
      <c r="C47" t="s">
        <v>43</v>
      </c>
      <c r="D47" t="s">
        <v>66</v>
      </c>
      <c r="E47" t="s">
        <v>72</v>
      </c>
      <c r="F47" t="s">
        <v>126</v>
      </c>
      <c r="G47" t="s">
        <v>400</v>
      </c>
      <c r="H47" t="s">
        <v>406</v>
      </c>
      <c r="I47" t="s">
        <v>453</v>
      </c>
      <c r="M47" s="1">
        <f>AVERAGE(J47:L47)</f>
        <v>0</v>
      </c>
      <c r="N47" s="1">
        <f>M47</f>
        <v>0</v>
      </c>
      <c r="P47" s="3">
        <f>IF(OR(H47="O", NOT(ISNUMBER(M47))), "", IF(COUNTIFS(C$2:C$999, C47, H$2:H$999, H47, M$2:M$999, "&lt;"&amp;M47)+1=1, 9, IF(COUNTIFS(C$2:C$999, C47, H$2:H$999, H47, M$2:M$999, "&lt;"&amp;M47)+1&lt;=8, 10-(COUNTIFS(C$2:C$999, C47, H$2:H$999, H47, M$2:M$999, "&lt;"&amp;M47)+1)-1, "")))</f>
        <v>0</v>
      </c>
      <c r="Q47" s="3">
        <f>IF(AND(N47&lt;&gt;"", O47&lt;&gt;""), 1, "")</f>
        <v>0</v>
      </c>
    </row>
    <row r="48" spans="1:17">
      <c r="A48">
        <v>47</v>
      </c>
      <c r="B48" t="s">
        <v>19</v>
      </c>
      <c r="C48" t="s">
        <v>43</v>
      </c>
      <c r="D48" t="s">
        <v>66</v>
      </c>
      <c r="E48" t="s">
        <v>73</v>
      </c>
      <c r="F48" t="s">
        <v>127</v>
      </c>
      <c r="G48" t="s">
        <v>394</v>
      </c>
      <c r="H48" t="s">
        <v>406</v>
      </c>
      <c r="I48" t="s">
        <v>454</v>
      </c>
      <c r="M48" s="1">
        <f>AVERAGE(J48:L48)</f>
        <v>0</v>
      </c>
      <c r="N48" s="1">
        <f>M48</f>
        <v>0</v>
      </c>
      <c r="P48" s="3">
        <f>IF(OR(H48="O", NOT(ISNUMBER(M48))), "", IF(COUNTIFS(C$2:C$999, C48, H$2:H$999, H48, M$2:M$999, "&lt;"&amp;M48)+1=1, 9, IF(COUNTIFS(C$2:C$999, C48, H$2:H$999, H48, M$2:M$999, "&lt;"&amp;M48)+1&lt;=8, 10-(COUNTIFS(C$2:C$999, C48, H$2:H$999, H48, M$2:M$999, "&lt;"&amp;M48)+1)-1, "")))</f>
        <v>0</v>
      </c>
      <c r="Q48" s="3">
        <f>IF(AND(N48&lt;&gt;"", O48&lt;&gt;""), 1, "")</f>
        <v>0</v>
      </c>
    </row>
    <row r="49" spans="1:17">
      <c r="A49">
        <v>48</v>
      </c>
      <c r="B49" t="s">
        <v>19</v>
      </c>
      <c r="C49" t="s">
        <v>43</v>
      </c>
      <c r="D49" t="s">
        <v>66</v>
      </c>
      <c r="E49" t="s">
        <v>74</v>
      </c>
      <c r="F49" t="s">
        <v>128</v>
      </c>
      <c r="G49" t="s">
        <v>399</v>
      </c>
      <c r="H49" t="s">
        <v>406</v>
      </c>
      <c r="I49" t="s">
        <v>455</v>
      </c>
      <c r="M49" s="1">
        <f>AVERAGE(J49:L49)</f>
        <v>0</v>
      </c>
      <c r="N49" s="1">
        <f>M49</f>
        <v>0</v>
      </c>
      <c r="P49" s="3">
        <f>IF(OR(H49="O", NOT(ISNUMBER(M49))), "", IF(COUNTIFS(C$2:C$999, C49, H$2:H$999, H49, M$2:M$999, "&lt;"&amp;M49)+1=1, 9, IF(COUNTIFS(C$2:C$999, C49, H$2:H$999, H49, M$2:M$999, "&lt;"&amp;M49)+1&lt;=8, 10-(COUNTIFS(C$2:C$999, C49, H$2:H$999, H49, M$2:M$999, "&lt;"&amp;M49)+1)-1, "")))</f>
        <v>0</v>
      </c>
      <c r="Q49" s="3">
        <f>IF(AND(N49&lt;&gt;"", O49&lt;&gt;""), 1, "")</f>
        <v>0</v>
      </c>
    </row>
    <row r="50" spans="1:17">
      <c r="A50">
        <v>49</v>
      </c>
      <c r="B50" t="s">
        <v>19</v>
      </c>
      <c r="C50" t="s">
        <v>43</v>
      </c>
      <c r="D50" t="s">
        <v>66</v>
      </c>
      <c r="E50" t="s">
        <v>75</v>
      </c>
      <c r="F50" t="s">
        <v>129</v>
      </c>
      <c r="G50" t="s">
        <v>402</v>
      </c>
      <c r="H50" t="s">
        <v>406</v>
      </c>
      <c r="I50" t="s">
        <v>456</v>
      </c>
      <c r="M50" s="1">
        <f>AVERAGE(J50:L50)</f>
        <v>0</v>
      </c>
      <c r="N50" s="1">
        <f>M50</f>
        <v>0</v>
      </c>
      <c r="P50" s="3">
        <f>IF(OR(H50="O", NOT(ISNUMBER(M50))), "", IF(COUNTIFS(C$2:C$999, C50, H$2:H$999, H50, M$2:M$999, "&lt;"&amp;M50)+1=1, 9, IF(COUNTIFS(C$2:C$999, C50, H$2:H$999, H50, M$2:M$999, "&lt;"&amp;M50)+1&lt;=8, 10-(COUNTIFS(C$2:C$999, C50, H$2:H$999, H50, M$2:M$999, "&lt;"&amp;M50)+1)-1, "")))</f>
        <v>0</v>
      </c>
      <c r="Q50" s="3">
        <f>IF(AND(N50&lt;&gt;"", O50&lt;&gt;""), 1, "")</f>
        <v>0</v>
      </c>
    </row>
    <row r="51" spans="1:17">
      <c r="A51">
        <v>50</v>
      </c>
      <c r="B51" t="s">
        <v>19</v>
      </c>
      <c r="C51" t="s">
        <v>43</v>
      </c>
      <c r="D51" t="s">
        <v>66</v>
      </c>
      <c r="E51" t="s">
        <v>76</v>
      </c>
      <c r="F51" t="s">
        <v>130</v>
      </c>
      <c r="G51" t="s">
        <v>398</v>
      </c>
      <c r="H51" t="s">
        <v>406</v>
      </c>
      <c r="I51" t="s">
        <v>457</v>
      </c>
      <c r="M51" s="1">
        <f>AVERAGE(J51:L51)</f>
        <v>0</v>
      </c>
      <c r="N51" s="1">
        <f>M51</f>
        <v>0</v>
      </c>
      <c r="P51" s="3">
        <f>IF(OR(H51="O", NOT(ISNUMBER(M51))), "", IF(COUNTIFS(C$2:C$999, C51, H$2:H$999, H51, M$2:M$999, "&lt;"&amp;M51)+1=1, 9, IF(COUNTIFS(C$2:C$999, C51, H$2:H$999, H51, M$2:M$999, "&lt;"&amp;M51)+1&lt;=8, 10-(COUNTIFS(C$2:C$999, C51, H$2:H$999, H51, M$2:M$999, "&lt;"&amp;M51)+1)-1, "")))</f>
        <v>0</v>
      </c>
      <c r="Q51" s="3">
        <f>IF(AND(N51&lt;&gt;"", O51&lt;&gt;""), 1, "")</f>
        <v>0</v>
      </c>
    </row>
    <row r="52" spans="1:17">
      <c r="A52">
        <v>51</v>
      </c>
      <c r="B52" t="s">
        <v>19</v>
      </c>
      <c r="C52" t="s">
        <v>43</v>
      </c>
      <c r="D52" t="s">
        <v>66</v>
      </c>
      <c r="E52" t="s">
        <v>77</v>
      </c>
      <c r="F52" t="s">
        <v>131</v>
      </c>
      <c r="G52" t="s">
        <v>399</v>
      </c>
      <c r="H52" t="s">
        <v>405</v>
      </c>
      <c r="I52" t="s">
        <v>458</v>
      </c>
      <c r="M52" s="1">
        <f>AVERAGE(J52:L52)</f>
        <v>0</v>
      </c>
      <c r="N52" s="1">
        <f>M52</f>
        <v>0</v>
      </c>
      <c r="P52" s="3">
        <f>IF(OR(H52="O", NOT(ISNUMBER(M52))), "", IF(COUNTIFS(C$2:C$999, C52, H$2:H$999, H52, M$2:M$999, "&lt;"&amp;M52)+1=1, 9, IF(COUNTIFS(C$2:C$999, C52, H$2:H$999, H52, M$2:M$999, "&lt;"&amp;M52)+1&lt;=8, 10-(COUNTIFS(C$2:C$999, C52, H$2:H$999, H52, M$2:M$999, "&lt;"&amp;M52)+1)-1, "")))</f>
        <v>0</v>
      </c>
      <c r="Q52" s="3">
        <f>IF(AND(N52&lt;&gt;"", O52&lt;&gt;""), 1, "")</f>
        <v>0</v>
      </c>
    </row>
    <row r="53" spans="1:17">
      <c r="A53">
        <v>52</v>
      </c>
      <c r="B53" t="s">
        <v>20</v>
      </c>
      <c r="C53" t="s">
        <v>44</v>
      </c>
      <c r="D53" t="s">
        <v>65</v>
      </c>
      <c r="E53" t="s">
        <v>71</v>
      </c>
      <c r="F53" t="s">
        <v>132</v>
      </c>
      <c r="G53" t="s">
        <v>390</v>
      </c>
      <c r="H53" t="s">
        <v>404</v>
      </c>
      <c r="I53" t="s">
        <v>459</v>
      </c>
      <c r="M53" s="1">
        <f>AVERAGE(J53:L53)</f>
        <v>0</v>
      </c>
      <c r="N53" s="1">
        <f>M53</f>
        <v>0</v>
      </c>
      <c r="P53" s="3">
        <f>IF(OR(H53="O", NOT(ISNUMBER(M53))), "", IF(COUNTIFS(C$2:C$999, C53, H$2:H$999, H53, M$2:M$999, "&lt;"&amp;M53)+1=1, 9, IF(COUNTIFS(C$2:C$999, C53, H$2:H$999, H53, M$2:M$999, "&lt;"&amp;M53)+1&lt;=8, 10-(COUNTIFS(C$2:C$999, C53, H$2:H$999, H53, M$2:M$999, "&lt;"&amp;M53)+1)-1, "")))</f>
        <v>0</v>
      </c>
      <c r="Q53" s="3">
        <f>IF(AND(N53&lt;&gt;"", O53&lt;&gt;""), 1, "")</f>
        <v>0</v>
      </c>
    </row>
    <row r="54" spans="1:17">
      <c r="A54">
        <v>53</v>
      </c>
      <c r="B54" t="s">
        <v>20</v>
      </c>
      <c r="C54" t="s">
        <v>44</v>
      </c>
      <c r="D54" t="s">
        <v>65</v>
      </c>
      <c r="E54" t="s">
        <v>72</v>
      </c>
      <c r="F54" t="s">
        <v>133</v>
      </c>
      <c r="G54" t="s">
        <v>391</v>
      </c>
      <c r="H54" t="s">
        <v>404</v>
      </c>
      <c r="I54" t="s">
        <v>460</v>
      </c>
      <c r="M54" s="1">
        <f>AVERAGE(J54:L54)</f>
        <v>0</v>
      </c>
      <c r="N54" s="1">
        <f>M54</f>
        <v>0</v>
      </c>
      <c r="P54" s="3">
        <f>IF(OR(H54="O", NOT(ISNUMBER(M54))), "", IF(COUNTIFS(C$2:C$999, C54, H$2:H$999, H54, M$2:M$999, "&lt;"&amp;M54)+1=1, 9, IF(COUNTIFS(C$2:C$999, C54, H$2:H$999, H54, M$2:M$999, "&lt;"&amp;M54)+1&lt;=8, 10-(COUNTIFS(C$2:C$999, C54, H$2:H$999, H54, M$2:M$999, "&lt;"&amp;M54)+1)-1, "")))</f>
        <v>0</v>
      </c>
      <c r="Q54" s="3">
        <f>IF(AND(N54&lt;&gt;"", O54&lt;&gt;""), 1, "")</f>
        <v>0</v>
      </c>
    </row>
    <row r="55" spans="1:17">
      <c r="A55">
        <v>54</v>
      </c>
      <c r="B55" t="s">
        <v>20</v>
      </c>
      <c r="C55" t="s">
        <v>44</v>
      </c>
      <c r="D55" t="s">
        <v>65</v>
      </c>
      <c r="E55" t="s">
        <v>73</v>
      </c>
      <c r="F55" t="s">
        <v>134</v>
      </c>
      <c r="G55" t="s">
        <v>393</v>
      </c>
      <c r="H55" t="s">
        <v>404</v>
      </c>
      <c r="I55" t="s">
        <v>461</v>
      </c>
      <c r="M55" s="1">
        <f>AVERAGE(J55:L55)</f>
        <v>0</v>
      </c>
      <c r="N55" s="1">
        <f>M55</f>
        <v>0</v>
      </c>
      <c r="P55" s="3">
        <f>IF(OR(H55="O", NOT(ISNUMBER(M55))), "", IF(COUNTIFS(C$2:C$999, C55, H$2:H$999, H55, M$2:M$999, "&lt;"&amp;M55)+1=1, 9, IF(COUNTIFS(C$2:C$999, C55, H$2:H$999, H55, M$2:M$999, "&lt;"&amp;M55)+1&lt;=8, 10-(COUNTIFS(C$2:C$999, C55, H$2:H$999, H55, M$2:M$999, "&lt;"&amp;M55)+1)-1, "")))</f>
        <v>0</v>
      </c>
      <c r="Q55" s="3">
        <f>IF(AND(N55&lt;&gt;"", O55&lt;&gt;""), 1, "")</f>
        <v>0</v>
      </c>
    </row>
    <row r="56" spans="1:17">
      <c r="A56">
        <v>55</v>
      </c>
      <c r="B56" t="s">
        <v>20</v>
      </c>
      <c r="C56" t="s">
        <v>44</v>
      </c>
      <c r="D56" t="s">
        <v>65</v>
      </c>
      <c r="E56" t="s">
        <v>74</v>
      </c>
      <c r="F56" t="s">
        <v>135</v>
      </c>
      <c r="G56" t="s">
        <v>395</v>
      </c>
      <c r="H56" t="s">
        <v>404</v>
      </c>
      <c r="I56" t="s">
        <v>462</v>
      </c>
      <c r="M56" s="1">
        <f>AVERAGE(J56:L56)</f>
        <v>0</v>
      </c>
      <c r="N56" s="1">
        <f>M56</f>
        <v>0</v>
      </c>
      <c r="P56" s="3">
        <f>IF(OR(H56="O", NOT(ISNUMBER(M56))), "", IF(COUNTIFS(C$2:C$999, C56, H$2:H$999, H56, M$2:M$999, "&lt;"&amp;M56)+1=1, 9, IF(COUNTIFS(C$2:C$999, C56, H$2:H$999, H56, M$2:M$999, "&lt;"&amp;M56)+1&lt;=8, 10-(COUNTIFS(C$2:C$999, C56, H$2:H$999, H56, M$2:M$999, "&lt;"&amp;M56)+1)-1, "")))</f>
        <v>0</v>
      </c>
      <c r="Q56" s="3">
        <f>IF(AND(N56&lt;&gt;"", O56&lt;&gt;""), 1, "")</f>
        <v>0</v>
      </c>
    </row>
    <row r="57" spans="1:17">
      <c r="A57">
        <v>56</v>
      </c>
      <c r="B57" t="s">
        <v>20</v>
      </c>
      <c r="C57" t="s">
        <v>44</v>
      </c>
      <c r="D57" t="s">
        <v>65</v>
      </c>
      <c r="E57" t="s">
        <v>75</v>
      </c>
      <c r="F57" t="s">
        <v>136</v>
      </c>
      <c r="G57" t="s">
        <v>394</v>
      </c>
      <c r="H57" t="s">
        <v>404</v>
      </c>
      <c r="I57" t="s">
        <v>463</v>
      </c>
      <c r="M57" s="1">
        <f>AVERAGE(J57:L57)</f>
        <v>0</v>
      </c>
      <c r="N57" s="1">
        <f>M57</f>
        <v>0</v>
      </c>
      <c r="P57" s="3">
        <f>IF(OR(H57="O", NOT(ISNUMBER(M57))), "", IF(COUNTIFS(C$2:C$999, C57, H$2:H$999, H57, M$2:M$999, "&lt;"&amp;M57)+1=1, 9, IF(COUNTIFS(C$2:C$999, C57, H$2:H$999, H57, M$2:M$999, "&lt;"&amp;M57)+1&lt;=8, 10-(COUNTIFS(C$2:C$999, C57, H$2:H$999, H57, M$2:M$999, "&lt;"&amp;M57)+1)-1, "")))</f>
        <v>0</v>
      </c>
      <c r="Q57" s="3">
        <f>IF(AND(N57&lt;&gt;"", O57&lt;&gt;""), 1, "")</f>
        <v>0</v>
      </c>
    </row>
    <row r="58" spans="1:17">
      <c r="A58">
        <v>57</v>
      </c>
      <c r="B58" t="s">
        <v>20</v>
      </c>
      <c r="C58" t="s">
        <v>44</v>
      </c>
      <c r="D58" t="s">
        <v>65</v>
      </c>
      <c r="E58" t="s">
        <v>76</v>
      </c>
      <c r="F58" t="s">
        <v>137</v>
      </c>
      <c r="G58" t="s">
        <v>392</v>
      </c>
      <c r="H58" t="s">
        <v>404</v>
      </c>
      <c r="I58" t="s">
        <v>464</v>
      </c>
      <c r="M58" s="1">
        <f>AVERAGE(J58:L58)</f>
        <v>0</v>
      </c>
      <c r="N58" s="1">
        <f>M58</f>
        <v>0</v>
      </c>
      <c r="P58" s="3">
        <f>IF(OR(H58="O", NOT(ISNUMBER(M58))), "", IF(COUNTIFS(C$2:C$999, C58, H$2:H$999, H58, M$2:M$999, "&lt;"&amp;M58)+1=1, 9, IF(COUNTIFS(C$2:C$999, C58, H$2:H$999, H58, M$2:M$999, "&lt;"&amp;M58)+1&lt;=8, 10-(COUNTIFS(C$2:C$999, C58, H$2:H$999, H58, M$2:M$999, "&lt;"&amp;M58)+1)-1, "")))</f>
        <v>0</v>
      </c>
      <c r="Q58" s="3">
        <f>IF(AND(N58&lt;&gt;"", O58&lt;&gt;""), 1, "")</f>
        <v>0</v>
      </c>
    </row>
    <row r="59" spans="1:17">
      <c r="A59">
        <v>58</v>
      </c>
      <c r="B59" t="s">
        <v>20</v>
      </c>
      <c r="C59" t="s">
        <v>44</v>
      </c>
      <c r="D59" t="s">
        <v>65</v>
      </c>
      <c r="E59" t="s">
        <v>77</v>
      </c>
      <c r="F59" t="s">
        <v>138</v>
      </c>
      <c r="G59" t="s">
        <v>396</v>
      </c>
      <c r="H59" t="s">
        <v>404</v>
      </c>
      <c r="I59" t="s">
        <v>465</v>
      </c>
      <c r="M59" s="1">
        <f>AVERAGE(J59:L59)</f>
        <v>0</v>
      </c>
      <c r="N59" s="1">
        <f>M59</f>
        <v>0</v>
      </c>
      <c r="P59" s="3">
        <f>IF(OR(H59="O", NOT(ISNUMBER(M59))), "", IF(COUNTIFS(C$2:C$999, C59, H$2:H$999, H59, M$2:M$999, "&lt;"&amp;M59)+1=1, 9, IF(COUNTIFS(C$2:C$999, C59, H$2:H$999, H59, M$2:M$999, "&lt;"&amp;M59)+1&lt;=8, 10-(COUNTIFS(C$2:C$999, C59, H$2:H$999, H59, M$2:M$999, "&lt;"&amp;M59)+1)-1, "")))</f>
        <v>0</v>
      </c>
      <c r="Q59" s="3">
        <f>IF(AND(N59&lt;&gt;"", O59&lt;&gt;""), 1, "")</f>
        <v>0</v>
      </c>
    </row>
    <row r="60" spans="1:17">
      <c r="A60">
        <v>59</v>
      </c>
      <c r="B60" t="s">
        <v>20</v>
      </c>
      <c r="C60" t="s">
        <v>44</v>
      </c>
      <c r="D60" t="s">
        <v>65</v>
      </c>
      <c r="E60" t="s">
        <v>78</v>
      </c>
      <c r="F60" t="s">
        <v>139</v>
      </c>
      <c r="G60" t="s">
        <v>397</v>
      </c>
      <c r="H60" t="s">
        <v>404</v>
      </c>
      <c r="I60" t="s">
        <v>466</v>
      </c>
      <c r="M60" s="1">
        <f>AVERAGE(J60:L60)</f>
        <v>0</v>
      </c>
      <c r="N60" s="1">
        <f>M60</f>
        <v>0</v>
      </c>
      <c r="P60" s="3">
        <f>IF(OR(H60="O", NOT(ISNUMBER(M60))), "", IF(COUNTIFS(C$2:C$999, C60, H$2:H$999, H60, M$2:M$999, "&lt;"&amp;M60)+1=1, 9, IF(COUNTIFS(C$2:C$999, C60, H$2:H$999, H60, M$2:M$999, "&lt;"&amp;M60)+1&lt;=8, 10-(COUNTIFS(C$2:C$999, C60, H$2:H$999, H60, M$2:M$999, "&lt;"&amp;M60)+1)-1, "")))</f>
        <v>0</v>
      </c>
      <c r="Q60" s="3">
        <f>IF(AND(N60&lt;&gt;"", O60&lt;&gt;""), 1, "")</f>
        <v>0</v>
      </c>
    </row>
    <row r="61" spans="1:17">
      <c r="A61">
        <v>60</v>
      </c>
      <c r="B61" t="s">
        <v>20</v>
      </c>
      <c r="C61" t="s">
        <v>44</v>
      </c>
      <c r="D61" t="s">
        <v>66</v>
      </c>
      <c r="E61" t="s">
        <v>79</v>
      </c>
      <c r="F61" t="s">
        <v>140</v>
      </c>
      <c r="G61" t="s">
        <v>396</v>
      </c>
      <c r="H61" t="s">
        <v>406</v>
      </c>
      <c r="I61" t="s">
        <v>467</v>
      </c>
      <c r="M61" s="1">
        <f>AVERAGE(J61:L61)</f>
        <v>0</v>
      </c>
      <c r="N61" s="1">
        <f>M61</f>
        <v>0</v>
      </c>
      <c r="P61" s="3">
        <f>IF(OR(H61="O", NOT(ISNUMBER(M61))), "", IF(COUNTIFS(C$2:C$999, C61, H$2:H$999, H61, M$2:M$999, "&lt;"&amp;M61)+1=1, 9, IF(COUNTIFS(C$2:C$999, C61, H$2:H$999, H61, M$2:M$999, "&lt;"&amp;M61)+1&lt;=8, 10-(COUNTIFS(C$2:C$999, C61, H$2:H$999, H61, M$2:M$999, "&lt;"&amp;M61)+1)-1, "")))</f>
        <v>0</v>
      </c>
      <c r="Q61" s="3">
        <f>IF(AND(N61&lt;&gt;"", O61&lt;&gt;""), 1, "")</f>
        <v>0</v>
      </c>
    </row>
    <row r="62" spans="1:17">
      <c r="A62">
        <v>61</v>
      </c>
      <c r="B62" t="s">
        <v>20</v>
      </c>
      <c r="C62" t="s">
        <v>44</v>
      </c>
      <c r="D62" t="s">
        <v>66</v>
      </c>
      <c r="E62" t="s">
        <v>71</v>
      </c>
      <c r="F62" t="s">
        <v>141</v>
      </c>
      <c r="G62" t="s">
        <v>402</v>
      </c>
      <c r="H62" t="s">
        <v>406</v>
      </c>
      <c r="I62" t="s">
        <v>468</v>
      </c>
      <c r="M62" s="1">
        <f>AVERAGE(J62:L62)</f>
        <v>0</v>
      </c>
      <c r="N62" s="1">
        <f>M62</f>
        <v>0</v>
      </c>
      <c r="P62" s="3">
        <f>IF(OR(H62="O", NOT(ISNUMBER(M62))), "", IF(COUNTIFS(C$2:C$999, C62, H$2:H$999, H62, M$2:M$999, "&lt;"&amp;M62)+1=1, 9, IF(COUNTIFS(C$2:C$999, C62, H$2:H$999, H62, M$2:M$999, "&lt;"&amp;M62)+1&lt;=8, 10-(COUNTIFS(C$2:C$999, C62, H$2:H$999, H62, M$2:M$999, "&lt;"&amp;M62)+1)-1, "")))</f>
        <v>0</v>
      </c>
      <c r="Q62" s="3">
        <f>IF(AND(N62&lt;&gt;"", O62&lt;&gt;""), 1, "")</f>
        <v>0</v>
      </c>
    </row>
    <row r="63" spans="1:17">
      <c r="A63">
        <v>62</v>
      </c>
      <c r="B63" t="s">
        <v>20</v>
      </c>
      <c r="C63" t="s">
        <v>44</v>
      </c>
      <c r="D63" t="s">
        <v>66</v>
      </c>
      <c r="E63" t="s">
        <v>72</v>
      </c>
      <c r="F63" t="s">
        <v>142</v>
      </c>
      <c r="G63" t="s">
        <v>400</v>
      </c>
      <c r="H63" t="s">
        <v>406</v>
      </c>
      <c r="I63" t="s">
        <v>469</v>
      </c>
      <c r="M63" s="1">
        <f>AVERAGE(J63:L63)</f>
        <v>0</v>
      </c>
      <c r="N63" s="1">
        <f>M63</f>
        <v>0</v>
      </c>
      <c r="P63" s="3">
        <f>IF(OR(H63="O", NOT(ISNUMBER(M63))), "", IF(COUNTIFS(C$2:C$999, C63, H$2:H$999, H63, M$2:M$999, "&lt;"&amp;M63)+1=1, 9, IF(COUNTIFS(C$2:C$999, C63, H$2:H$999, H63, M$2:M$999, "&lt;"&amp;M63)+1&lt;=8, 10-(COUNTIFS(C$2:C$999, C63, H$2:H$999, H63, M$2:M$999, "&lt;"&amp;M63)+1)-1, "")))</f>
        <v>0</v>
      </c>
      <c r="Q63" s="3">
        <f>IF(AND(N63&lt;&gt;"", O63&lt;&gt;""), 1, "")</f>
        <v>0</v>
      </c>
    </row>
    <row r="64" spans="1:17">
      <c r="A64">
        <v>63</v>
      </c>
      <c r="B64" t="s">
        <v>20</v>
      </c>
      <c r="C64" t="s">
        <v>44</v>
      </c>
      <c r="D64" t="s">
        <v>66</v>
      </c>
      <c r="E64" t="s">
        <v>73</v>
      </c>
      <c r="F64" t="s">
        <v>143</v>
      </c>
      <c r="G64" t="s">
        <v>392</v>
      </c>
      <c r="H64" t="s">
        <v>406</v>
      </c>
      <c r="I64" t="s">
        <v>470</v>
      </c>
      <c r="M64" s="1">
        <f>AVERAGE(J64:L64)</f>
        <v>0</v>
      </c>
      <c r="N64" s="1">
        <f>M64</f>
        <v>0</v>
      </c>
      <c r="P64" s="3">
        <f>IF(OR(H64="O", NOT(ISNUMBER(M64))), "", IF(COUNTIFS(C$2:C$999, C64, H$2:H$999, H64, M$2:M$999, "&lt;"&amp;M64)+1=1, 9, IF(COUNTIFS(C$2:C$999, C64, H$2:H$999, H64, M$2:M$999, "&lt;"&amp;M64)+1&lt;=8, 10-(COUNTIFS(C$2:C$999, C64, H$2:H$999, H64, M$2:M$999, "&lt;"&amp;M64)+1)-1, "")))</f>
        <v>0</v>
      </c>
      <c r="Q64" s="3">
        <f>IF(AND(N64&lt;&gt;"", O64&lt;&gt;""), 1, "")</f>
        <v>0</v>
      </c>
    </row>
    <row r="65" spans="1:17">
      <c r="A65">
        <v>64</v>
      </c>
      <c r="B65" t="s">
        <v>20</v>
      </c>
      <c r="C65" t="s">
        <v>44</v>
      </c>
      <c r="D65" t="s">
        <v>66</v>
      </c>
      <c r="E65" t="s">
        <v>74</v>
      </c>
      <c r="F65" t="s">
        <v>144</v>
      </c>
      <c r="G65" t="s">
        <v>394</v>
      </c>
      <c r="H65" t="s">
        <v>406</v>
      </c>
      <c r="I65" t="s">
        <v>471</v>
      </c>
      <c r="M65" s="1">
        <f>AVERAGE(J65:L65)</f>
        <v>0</v>
      </c>
      <c r="N65" s="1">
        <f>M65</f>
        <v>0</v>
      </c>
      <c r="P65" s="3">
        <f>IF(OR(H65="O", NOT(ISNUMBER(M65))), "", IF(COUNTIFS(C$2:C$999, C65, H$2:H$999, H65, M$2:M$999, "&lt;"&amp;M65)+1=1, 9, IF(COUNTIFS(C$2:C$999, C65, H$2:H$999, H65, M$2:M$999, "&lt;"&amp;M65)+1&lt;=8, 10-(COUNTIFS(C$2:C$999, C65, H$2:H$999, H65, M$2:M$999, "&lt;"&amp;M65)+1)-1, "")))</f>
        <v>0</v>
      </c>
      <c r="Q65" s="3">
        <f>IF(AND(N65&lt;&gt;"", O65&lt;&gt;""), 1, "")</f>
        <v>0</v>
      </c>
    </row>
    <row r="66" spans="1:17">
      <c r="A66">
        <v>65</v>
      </c>
      <c r="B66" t="s">
        <v>20</v>
      </c>
      <c r="C66" t="s">
        <v>44</v>
      </c>
      <c r="D66" t="s">
        <v>66</v>
      </c>
      <c r="E66" t="s">
        <v>75</v>
      </c>
      <c r="F66" t="s">
        <v>145</v>
      </c>
      <c r="G66" t="s">
        <v>399</v>
      </c>
      <c r="H66" t="s">
        <v>406</v>
      </c>
      <c r="I66" t="s">
        <v>472</v>
      </c>
      <c r="M66" s="1">
        <f>AVERAGE(J66:L66)</f>
        <v>0</v>
      </c>
      <c r="N66" s="1">
        <f>M66</f>
        <v>0</v>
      </c>
      <c r="P66" s="3">
        <f>IF(OR(H66="O", NOT(ISNUMBER(M66))), "", IF(COUNTIFS(C$2:C$999, C66, H$2:H$999, H66, M$2:M$999, "&lt;"&amp;M66)+1=1, 9, IF(COUNTIFS(C$2:C$999, C66, H$2:H$999, H66, M$2:M$999, "&lt;"&amp;M66)+1&lt;=8, 10-(COUNTIFS(C$2:C$999, C66, H$2:H$999, H66, M$2:M$999, "&lt;"&amp;M66)+1)-1, "")))</f>
        <v>0</v>
      </c>
      <c r="Q66" s="3">
        <f>IF(AND(N66&lt;&gt;"", O66&lt;&gt;""), 1, "")</f>
        <v>0</v>
      </c>
    </row>
    <row r="67" spans="1:17">
      <c r="A67">
        <v>66</v>
      </c>
      <c r="B67" t="s">
        <v>20</v>
      </c>
      <c r="C67" t="s">
        <v>44</v>
      </c>
      <c r="D67" t="s">
        <v>66</v>
      </c>
      <c r="E67" t="s">
        <v>76</v>
      </c>
      <c r="F67" t="s">
        <v>146</v>
      </c>
      <c r="G67" t="s">
        <v>401</v>
      </c>
      <c r="H67" t="s">
        <v>406</v>
      </c>
      <c r="I67" t="s">
        <v>473</v>
      </c>
      <c r="M67" s="1">
        <f>AVERAGE(J67:L67)</f>
        <v>0</v>
      </c>
      <c r="N67" s="1">
        <f>M67</f>
        <v>0</v>
      </c>
      <c r="P67" s="3">
        <f>IF(OR(H67="O", NOT(ISNUMBER(M67))), "", IF(COUNTIFS(C$2:C$999, C67, H$2:H$999, H67, M$2:M$999, "&lt;"&amp;M67)+1=1, 9, IF(COUNTIFS(C$2:C$999, C67, H$2:H$999, H67, M$2:M$999, "&lt;"&amp;M67)+1&lt;=8, 10-(COUNTIFS(C$2:C$999, C67, H$2:H$999, H67, M$2:M$999, "&lt;"&amp;M67)+1)-1, "")))</f>
        <v>0</v>
      </c>
      <c r="Q67" s="3">
        <f>IF(AND(N67&lt;&gt;"", O67&lt;&gt;""), 1, "")</f>
        <v>0</v>
      </c>
    </row>
    <row r="68" spans="1:17">
      <c r="A68">
        <v>67</v>
      </c>
      <c r="B68" t="s">
        <v>20</v>
      </c>
      <c r="C68" t="s">
        <v>44</v>
      </c>
      <c r="D68" t="s">
        <v>66</v>
      </c>
      <c r="E68" t="s">
        <v>77</v>
      </c>
      <c r="F68" t="s">
        <v>147</v>
      </c>
      <c r="G68" t="s">
        <v>398</v>
      </c>
      <c r="H68" t="s">
        <v>406</v>
      </c>
      <c r="I68" t="s">
        <v>474</v>
      </c>
      <c r="M68" s="1">
        <f>AVERAGE(J68:L68)</f>
        <v>0</v>
      </c>
      <c r="N68" s="1">
        <f>M68</f>
        <v>0</v>
      </c>
      <c r="P68" s="3">
        <f>IF(OR(H68="O", NOT(ISNUMBER(M68))), "", IF(COUNTIFS(C$2:C$999, C68, H$2:H$999, H68, M$2:M$999, "&lt;"&amp;M68)+1=1, 9, IF(COUNTIFS(C$2:C$999, C68, H$2:H$999, H68, M$2:M$999, "&lt;"&amp;M68)+1&lt;=8, 10-(COUNTIFS(C$2:C$999, C68, H$2:H$999, H68, M$2:M$999, "&lt;"&amp;M68)+1)-1, "")))</f>
        <v>0</v>
      </c>
      <c r="Q68" s="3">
        <f>IF(AND(N68&lt;&gt;"", O68&lt;&gt;""), 1, "")</f>
        <v>0</v>
      </c>
    </row>
    <row r="69" spans="1:17">
      <c r="A69">
        <v>68</v>
      </c>
      <c r="B69" t="s">
        <v>20</v>
      </c>
      <c r="C69" t="s">
        <v>44</v>
      </c>
      <c r="D69" t="s">
        <v>66</v>
      </c>
      <c r="E69" t="s">
        <v>78</v>
      </c>
      <c r="F69" t="s">
        <v>148</v>
      </c>
      <c r="G69" t="s">
        <v>390</v>
      </c>
      <c r="H69" t="s">
        <v>406</v>
      </c>
      <c r="I69" t="s">
        <v>475</v>
      </c>
      <c r="M69" s="1">
        <f>AVERAGE(J69:L69)</f>
        <v>0</v>
      </c>
      <c r="N69" s="1">
        <f>M69</f>
        <v>0</v>
      </c>
      <c r="P69" s="3">
        <f>IF(OR(H69="O", NOT(ISNUMBER(M69))), "", IF(COUNTIFS(C$2:C$999, C69, H$2:H$999, H69, M$2:M$999, "&lt;"&amp;M69)+1=1, 9, IF(COUNTIFS(C$2:C$999, C69, H$2:H$999, H69, M$2:M$999, "&lt;"&amp;M69)+1&lt;=8, 10-(COUNTIFS(C$2:C$999, C69, H$2:H$999, H69, M$2:M$999, "&lt;"&amp;M69)+1)-1, "")))</f>
        <v>0</v>
      </c>
      <c r="Q69" s="3">
        <f>IF(AND(N69&lt;&gt;"", O69&lt;&gt;""), 1, "")</f>
        <v>0</v>
      </c>
    </row>
    <row r="70" spans="1:17">
      <c r="A70">
        <v>69</v>
      </c>
      <c r="B70" t="s">
        <v>20</v>
      </c>
      <c r="C70" t="s">
        <v>44</v>
      </c>
      <c r="D70" t="s">
        <v>66</v>
      </c>
      <c r="E70" t="s">
        <v>80</v>
      </c>
      <c r="F70" t="s">
        <v>149</v>
      </c>
      <c r="G70" t="s">
        <v>391</v>
      </c>
      <c r="H70" t="s">
        <v>406</v>
      </c>
      <c r="I70" t="s">
        <v>476</v>
      </c>
      <c r="M70" s="1">
        <f>AVERAGE(J70:L70)</f>
        <v>0</v>
      </c>
      <c r="N70" s="1">
        <f>M70</f>
        <v>0</v>
      </c>
      <c r="P70" s="3">
        <f>IF(OR(H70="O", NOT(ISNUMBER(M70))), "", IF(COUNTIFS(C$2:C$999, C70, H$2:H$999, H70, M$2:M$999, "&lt;"&amp;M70)+1=1, 9, IF(COUNTIFS(C$2:C$999, C70, H$2:H$999, H70, M$2:M$999, "&lt;"&amp;M70)+1&lt;=8, 10-(COUNTIFS(C$2:C$999, C70, H$2:H$999, H70, M$2:M$999, "&lt;"&amp;M70)+1)-1, "")))</f>
        <v>0</v>
      </c>
      <c r="Q70" s="3">
        <f>IF(AND(N70&lt;&gt;"", O70&lt;&gt;""), 1, "")</f>
        <v>0</v>
      </c>
    </row>
    <row r="71" spans="1:17">
      <c r="A71">
        <v>70</v>
      </c>
      <c r="B71" t="s">
        <v>21</v>
      </c>
      <c r="C71" t="s">
        <v>45</v>
      </c>
      <c r="D71" t="s">
        <v>65</v>
      </c>
      <c r="E71" t="s">
        <v>79</v>
      </c>
      <c r="F71" t="s">
        <v>150</v>
      </c>
      <c r="G71" t="s">
        <v>390</v>
      </c>
      <c r="H71" t="s">
        <v>404</v>
      </c>
      <c r="I71" t="s">
        <v>477</v>
      </c>
      <c r="M71" s="1">
        <f>AVERAGE(J71:L71)</f>
        <v>0</v>
      </c>
      <c r="N71" s="1">
        <f>M71</f>
        <v>0</v>
      </c>
      <c r="P71" s="3">
        <f>IF(OR(H71="O", NOT(ISNUMBER(M71))), "", IF(COUNTIFS(C$2:C$999, C71, H$2:H$999, H71, M$2:M$999, "&lt;"&amp;M71)+1=1, 9, IF(COUNTIFS(C$2:C$999, C71, H$2:H$999, H71, M$2:M$999, "&lt;"&amp;M71)+1&lt;=8, 10-(COUNTIFS(C$2:C$999, C71, H$2:H$999, H71, M$2:M$999, "&lt;"&amp;M71)+1)-1, "")))</f>
        <v>0</v>
      </c>
      <c r="Q71" s="3">
        <f>IF(AND(N71&lt;&gt;"", O71&lt;&gt;""), 1, "")</f>
        <v>0</v>
      </c>
    </row>
    <row r="72" spans="1:17">
      <c r="A72">
        <v>71</v>
      </c>
      <c r="B72" t="s">
        <v>21</v>
      </c>
      <c r="C72" t="s">
        <v>45</v>
      </c>
      <c r="D72" t="s">
        <v>65</v>
      </c>
      <c r="E72" t="s">
        <v>71</v>
      </c>
      <c r="F72" t="s">
        <v>151</v>
      </c>
      <c r="G72" t="s">
        <v>391</v>
      </c>
      <c r="H72" t="s">
        <v>404</v>
      </c>
      <c r="I72" t="s">
        <v>478</v>
      </c>
      <c r="M72" s="1">
        <f>AVERAGE(J72:L72)</f>
        <v>0</v>
      </c>
      <c r="N72" s="1">
        <f>M72</f>
        <v>0</v>
      </c>
      <c r="P72" s="3">
        <f>IF(OR(H72="O", NOT(ISNUMBER(M72))), "", IF(COUNTIFS(C$2:C$999, C72, H$2:H$999, H72, M$2:M$999, "&lt;"&amp;M72)+1=1, 9, IF(COUNTIFS(C$2:C$999, C72, H$2:H$999, H72, M$2:M$999, "&lt;"&amp;M72)+1&lt;=8, 10-(COUNTIFS(C$2:C$999, C72, H$2:H$999, H72, M$2:M$999, "&lt;"&amp;M72)+1)-1, "")))</f>
        <v>0</v>
      </c>
      <c r="Q72" s="3">
        <f>IF(AND(N72&lt;&gt;"", O72&lt;&gt;""), 1, "")</f>
        <v>0</v>
      </c>
    </row>
    <row r="73" spans="1:17">
      <c r="A73">
        <v>72</v>
      </c>
      <c r="B73" t="s">
        <v>21</v>
      </c>
      <c r="C73" t="s">
        <v>45</v>
      </c>
      <c r="D73" t="s">
        <v>65</v>
      </c>
      <c r="E73" t="s">
        <v>72</v>
      </c>
      <c r="F73" t="s">
        <v>152</v>
      </c>
      <c r="G73" t="s">
        <v>393</v>
      </c>
      <c r="H73" t="s">
        <v>404</v>
      </c>
      <c r="I73" t="s">
        <v>479</v>
      </c>
      <c r="M73" s="1">
        <f>AVERAGE(J73:L73)</f>
        <v>0</v>
      </c>
      <c r="N73" s="1">
        <f>M73</f>
        <v>0</v>
      </c>
      <c r="P73" s="3">
        <f>IF(OR(H73="O", NOT(ISNUMBER(M73))), "", IF(COUNTIFS(C$2:C$999, C73, H$2:H$999, H73, M$2:M$999, "&lt;"&amp;M73)+1=1, 9, IF(COUNTIFS(C$2:C$999, C73, H$2:H$999, H73, M$2:M$999, "&lt;"&amp;M73)+1&lt;=8, 10-(COUNTIFS(C$2:C$999, C73, H$2:H$999, H73, M$2:M$999, "&lt;"&amp;M73)+1)-1, "")))</f>
        <v>0</v>
      </c>
      <c r="Q73" s="3">
        <f>IF(AND(N73&lt;&gt;"", O73&lt;&gt;""), 1, "")</f>
        <v>0</v>
      </c>
    </row>
    <row r="74" spans="1:17">
      <c r="A74">
        <v>73</v>
      </c>
      <c r="B74" t="s">
        <v>21</v>
      </c>
      <c r="C74" t="s">
        <v>45</v>
      </c>
      <c r="D74" t="s">
        <v>65</v>
      </c>
      <c r="E74" t="s">
        <v>73</v>
      </c>
      <c r="F74" t="s">
        <v>153</v>
      </c>
      <c r="G74" t="s">
        <v>392</v>
      </c>
      <c r="H74" t="s">
        <v>404</v>
      </c>
      <c r="I74" t="s">
        <v>480</v>
      </c>
      <c r="M74" s="1">
        <f>AVERAGE(J74:L74)</f>
        <v>0</v>
      </c>
      <c r="N74" s="1">
        <f>M74</f>
        <v>0</v>
      </c>
      <c r="P74" s="3">
        <f>IF(OR(H74="O", NOT(ISNUMBER(M74))), "", IF(COUNTIFS(C$2:C$999, C74, H$2:H$999, H74, M$2:M$999, "&lt;"&amp;M74)+1=1, 9, IF(COUNTIFS(C$2:C$999, C74, H$2:H$999, H74, M$2:M$999, "&lt;"&amp;M74)+1&lt;=8, 10-(COUNTIFS(C$2:C$999, C74, H$2:H$999, H74, M$2:M$999, "&lt;"&amp;M74)+1)-1, "")))</f>
        <v>0</v>
      </c>
      <c r="Q74" s="3">
        <f>IF(AND(N74&lt;&gt;"", O74&lt;&gt;""), 1, "")</f>
        <v>0</v>
      </c>
    </row>
    <row r="75" spans="1:17">
      <c r="A75">
        <v>74</v>
      </c>
      <c r="B75" t="s">
        <v>21</v>
      </c>
      <c r="C75" t="s">
        <v>45</v>
      </c>
      <c r="D75" t="s">
        <v>65</v>
      </c>
      <c r="E75" t="s">
        <v>74</v>
      </c>
      <c r="F75" t="s">
        <v>154</v>
      </c>
      <c r="G75" t="s">
        <v>394</v>
      </c>
      <c r="H75" t="s">
        <v>404</v>
      </c>
      <c r="I75" t="s">
        <v>481</v>
      </c>
      <c r="M75" s="1">
        <f>AVERAGE(J75:L75)</f>
        <v>0</v>
      </c>
      <c r="N75" s="1">
        <f>M75</f>
        <v>0</v>
      </c>
      <c r="P75" s="3">
        <f>IF(OR(H75="O", NOT(ISNUMBER(M75))), "", IF(COUNTIFS(C$2:C$999, C75, H$2:H$999, H75, M$2:M$999, "&lt;"&amp;M75)+1=1, 9, IF(COUNTIFS(C$2:C$999, C75, H$2:H$999, H75, M$2:M$999, "&lt;"&amp;M75)+1&lt;=8, 10-(COUNTIFS(C$2:C$999, C75, H$2:H$999, H75, M$2:M$999, "&lt;"&amp;M75)+1)-1, "")))</f>
        <v>0</v>
      </c>
      <c r="Q75" s="3">
        <f>IF(AND(N75&lt;&gt;"", O75&lt;&gt;""), 1, "")</f>
        <v>0</v>
      </c>
    </row>
    <row r="76" spans="1:17">
      <c r="A76">
        <v>75</v>
      </c>
      <c r="B76" t="s">
        <v>21</v>
      </c>
      <c r="C76" t="s">
        <v>45</v>
      </c>
      <c r="D76" t="s">
        <v>65</v>
      </c>
      <c r="E76" t="s">
        <v>75</v>
      </c>
      <c r="F76" t="s">
        <v>155</v>
      </c>
      <c r="G76" t="s">
        <v>395</v>
      </c>
      <c r="H76" t="s">
        <v>404</v>
      </c>
      <c r="I76" t="s">
        <v>482</v>
      </c>
      <c r="M76" s="1">
        <f>AVERAGE(J76:L76)</f>
        <v>0</v>
      </c>
      <c r="N76" s="1">
        <f>M76</f>
        <v>0</v>
      </c>
      <c r="P76" s="3">
        <f>IF(OR(H76="O", NOT(ISNUMBER(M76))), "", IF(COUNTIFS(C$2:C$999, C76, H$2:H$999, H76, M$2:M$999, "&lt;"&amp;M76)+1=1, 9, IF(COUNTIFS(C$2:C$999, C76, H$2:H$999, H76, M$2:M$999, "&lt;"&amp;M76)+1&lt;=8, 10-(COUNTIFS(C$2:C$999, C76, H$2:H$999, H76, M$2:M$999, "&lt;"&amp;M76)+1)-1, "")))</f>
        <v>0</v>
      </c>
      <c r="Q76" s="3">
        <f>IF(AND(N76&lt;&gt;"", O76&lt;&gt;""), 1, "")</f>
        <v>0</v>
      </c>
    </row>
    <row r="77" spans="1:17">
      <c r="A77">
        <v>76</v>
      </c>
      <c r="B77" t="s">
        <v>21</v>
      </c>
      <c r="C77" t="s">
        <v>45</v>
      </c>
      <c r="D77" t="s">
        <v>65</v>
      </c>
      <c r="E77" t="s">
        <v>76</v>
      </c>
      <c r="F77" t="s">
        <v>156</v>
      </c>
      <c r="G77" t="s">
        <v>396</v>
      </c>
      <c r="H77" t="s">
        <v>404</v>
      </c>
      <c r="I77" t="s">
        <v>483</v>
      </c>
      <c r="M77" s="1">
        <f>AVERAGE(J77:L77)</f>
        <v>0</v>
      </c>
      <c r="N77" s="1">
        <f>M77</f>
        <v>0</v>
      </c>
      <c r="P77" s="3">
        <f>IF(OR(H77="O", NOT(ISNUMBER(M77))), "", IF(COUNTIFS(C$2:C$999, C77, H$2:H$999, H77, M$2:M$999, "&lt;"&amp;M77)+1=1, 9, IF(COUNTIFS(C$2:C$999, C77, H$2:H$999, H77, M$2:M$999, "&lt;"&amp;M77)+1&lt;=8, 10-(COUNTIFS(C$2:C$999, C77, H$2:H$999, H77, M$2:M$999, "&lt;"&amp;M77)+1)-1, "")))</f>
        <v>0</v>
      </c>
      <c r="Q77" s="3">
        <f>IF(AND(N77&lt;&gt;"", O77&lt;&gt;""), 1, "")</f>
        <v>0</v>
      </c>
    </row>
    <row r="78" spans="1:17">
      <c r="A78">
        <v>77</v>
      </c>
      <c r="B78" t="s">
        <v>21</v>
      </c>
      <c r="C78" t="s">
        <v>45</v>
      </c>
      <c r="D78" t="s">
        <v>65</v>
      </c>
      <c r="E78" t="s">
        <v>77</v>
      </c>
      <c r="F78" t="s">
        <v>157</v>
      </c>
      <c r="G78" t="s">
        <v>397</v>
      </c>
      <c r="H78" t="s">
        <v>404</v>
      </c>
      <c r="I78" t="s">
        <v>484</v>
      </c>
      <c r="M78" s="1">
        <f>AVERAGE(J78:L78)</f>
        <v>0</v>
      </c>
      <c r="N78" s="1">
        <f>M78</f>
        <v>0</v>
      </c>
      <c r="P78" s="3">
        <f>IF(OR(H78="O", NOT(ISNUMBER(M78))), "", IF(COUNTIFS(C$2:C$999, C78, H$2:H$999, H78, M$2:M$999, "&lt;"&amp;M78)+1=1, 9, IF(COUNTIFS(C$2:C$999, C78, H$2:H$999, H78, M$2:M$999, "&lt;"&amp;M78)+1&lt;=8, 10-(COUNTIFS(C$2:C$999, C78, H$2:H$999, H78, M$2:M$999, "&lt;"&amp;M78)+1)-1, "")))</f>
        <v>0</v>
      </c>
      <c r="Q78" s="3">
        <f>IF(AND(N78&lt;&gt;"", O78&lt;&gt;""), 1, "")</f>
        <v>0</v>
      </c>
    </row>
    <row r="79" spans="1:17">
      <c r="A79">
        <v>78</v>
      </c>
      <c r="B79" t="s">
        <v>21</v>
      </c>
      <c r="C79" t="s">
        <v>45</v>
      </c>
      <c r="D79" t="s">
        <v>65</v>
      </c>
      <c r="E79" t="s">
        <v>78</v>
      </c>
      <c r="F79" t="s">
        <v>158</v>
      </c>
      <c r="G79" t="s">
        <v>394</v>
      </c>
      <c r="H79" t="s">
        <v>405</v>
      </c>
      <c r="I79" t="s">
        <v>485</v>
      </c>
      <c r="M79" s="1">
        <f>AVERAGE(J79:L79)</f>
        <v>0</v>
      </c>
      <c r="N79" s="1">
        <f>M79</f>
        <v>0</v>
      </c>
      <c r="P79" s="3">
        <f>IF(OR(H79="O", NOT(ISNUMBER(M79))), "", IF(COUNTIFS(C$2:C$999, C79, H$2:H$999, H79, M$2:M$999, "&lt;"&amp;M79)+1=1, 9, IF(COUNTIFS(C$2:C$999, C79, H$2:H$999, H79, M$2:M$999, "&lt;"&amp;M79)+1&lt;=8, 10-(COUNTIFS(C$2:C$999, C79, H$2:H$999, H79, M$2:M$999, "&lt;"&amp;M79)+1)-1, "")))</f>
        <v>0</v>
      </c>
      <c r="Q79" s="3">
        <f>IF(AND(N79&lt;&gt;"", O79&lt;&gt;""), 1, "")</f>
        <v>0</v>
      </c>
    </row>
    <row r="80" spans="1:17">
      <c r="A80">
        <v>79</v>
      </c>
      <c r="B80" t="s">
        <v>21</v>
      </c>
      <c r="C80" t="s">
        <v>45</v>
      </c>
      <c r="D80" t="s">
        <v>66</v>
      </c>
      <c r="E80" t="s">
        <v>79</v>
      </c>
      <c r="F80" t="s">
        <v>159</v>
      </c>
      <c r="G80" t="s">
        <v>399</v>
      </c>
      <c r="H80" t="s">
        <v>405</v>
      </c>
      <c r="I80" t="s">
        <v>486</v>
      </c>
      <c r="M80" s="1">
        <f>AVERAGE(J80:L80)</f>
        <v>0</v>
      </c>
      <c r="N80" s="1">
        <f>M80</f>
        <v>0</v>
      </c>
      <c r="P80" s="3">
        <f>IF(OR(H80="O", NOT(ISNUMBER(M80))), "", IF(COUNTIFS(C$2:C$999, C80, H$2:H$999, H80, M$2:M$999, "&lt;"&amp;M80)+1=1, 9, IF(COUNTIFS(C$2:C$999, C80, H$2:H$999, H80, M$2:M$999, "&lt;"&amp;M80)+1&lt;=8, 10-(COUNTIFS(C$2:C$999, C80, H$2:H$999, H80, M$2:M$999, "&lt;"&amp;M80)+1)-1, "")))</f>
        <v>0</v>
      </c>
      <c r="Q80" s="3">
        <f>IF(AND(N80&lt;&gt;"", O80&lt;&gt;""), 1, "")</f>
        <v>0</v>
      </c>
    </row>
    <row r="81" spans="1:17">
      <c r="A81">
        <v>80</v>
      </c>
      <c r="B81" t="s">
        <v>21</v>
      </c>
      <c r="C81" t="s">
        <v>45</v>
      </c>
      <c r="D81" t="s">
        <v>66</v>
      </c>
      <c r="E81" t="s">
        <v>71</v>
      </c>
      <c r="F81" t="s">
        <v>160</v>
      </c>
      <c r="G81" t="s">
        <v>392</v>
      </c>
      <c r="H81" t="s">
        <v>406</v>
      </c>
      <c r="I81" t="s">
        <v>487</v>
      </c>
      <c r="M81" s="1">
        <f>AVERAGE(J81:L81)</f>
        <v>0</v>
      </c>
      <c r="N81" s="1">
        <f>M81</f>
        <v>0</v>
      </c>
      <c r="P81" s="3">
        <f>IF(OR(H81="O", NOT(ISNUMBER(M81))), "", IF(COUNTIFS(C$2:C$999, C81, H$2:H$999, H81, M$2:M$999, "&lt;"&amp;M81)+1=1, 9, IF(COUNTIFS(C$2:C$999, C81, H$2:H$999, H81, M$2:M$999, "&lt;"&amp;M81)+1&lt;=8, 10-(COUNTIFS(C$2:C$999, C81, H$2:H$999, H81, M$2:M$999, "&lt;"&amp;M81)+1)-1, "")))</f>
        <v>0</v>
      </c>
      <c r="Q81" s="3">
        <f>IF(AND(N81&lt;&gt;"", O81&lt;&gt;""), 1, "")</f>
        <v>0</v>
      </c>
    </row>
    <row r="82" spans="1:17">
      <c r="A82">
        <v>81</v>
      </c>
      <c r="B82" t="s">
        <v>21</v>
      </c>
      <c r="C82" t="s">
        <v>45</v>
      </c>
      <c r="D82" t="s">
        <v>66</v>
      </c>
      <c r="E82" t="s">
        <v>72</v>
      </c>
      <c r="F82" t="s">
        <v>161</v>
      </c>
      <c r="G82" t="s">
        <v>398</v>
      </c>
      <c r="H82" t="s">
        <v>406</v>
      </c>
      <c r="I82" t="s">
        <v>488</v>
      </c>
      <c r="M82" s="1">
        <f>AVERAGE(J82:L82)</f>
        <v>0</v>
      </c>
      <c r="N82" s="1">
        <f>M82</f>
        <v>0</v>
      </c>
      <c r="P82" s="3">
        <f>IF(OR(H82="O", NOT(ISNUMBER(M82))), "", IF(COUNTIFS(C$2:C$999, C82, H$2:H$999, H82, M$2:M$999, "&lt;"&amp;M82)+1=1, 9, IF(COUNTIFS(C$2:C$999, C82, H$2:H$999, H82, M$2:M$999, "&lt;"&amp;M82)+1&lt;=8, 10-(COUNTIFS(C$2:C$999, C82, H$2:H$999, H82, M$2:M$999, "&lt;"&amp;M82)+1)-1, "")))</f>
        <v>0</v>
      </c>
      <c r="Q82" s="3">
        <f>IF(AND(N82&lt;&gt;"", O82&lt;&gt;""), 1, "")</f>
        <v>0</v>
      </c>
    </row>
    <row r="83" spans="1:17">
      <c r="A83">
        <v>82</v>
      </c>
      <c r="B83" t="s">
        <v>21</v>
      </c>
      <c r="C83" t="s">
        <v>45</v>
      </c>
      <c r="D83" t="s">
        <v>66</v>
      </c>
      <c r="E83" t="s">
        <v>73</v>
      </c>
      <c r="F83" t="s">
        <v>162</v>
      </c>
      <c r="G83" t="s">
        <v>403</v>
      </c>
      <c r="H83" t="s">
        <v>406</v>
      </c>
      <c r="I83" t="s">
        <v>489</v>
      </c>
      <c r="M83" s="1">
        <f>AVERAGE(J83:L83)</f>
        <v>0</v>
      </c>
      <c r="N83" s="1">
        <f>M83</f>
        <v>0</v>
      </c>
      <c r="P83" s="3">
        <f>IF(OR(H83="O", NOT(ISNUMBER(M83))), "", IF(COUNTIFS(C$2:C$999, C83, H$2:H$999, H83, M$2:M$999, "&lt;"&amp;M83)+1=1, 9, IF(COUNTIFS(C$2:C$999, C83, H$2:H$999, H83, M$2:M$999, "&lt;"&amp;M83)+1&lt;=8, 10-(COUNTIFS(C$2:C$999, C83, H$2:H$999, H83, M$2:M$999, "&lt;"&amp;M83)+1)-1, "")))</f>
        <v>0</v>
      </c>
      <c r="Q83" s="3">
        <f>IF(AND(N83&lt;&gt;"", O83&lt;&gt;""), 1, "")</f>
        <v>0</v>
      </c>
    </row>
    <row r="84" spans="1:17">
      <c r="A84">
        <v>83</v>
      </c>
      <c r="B84" t="s">
        <v>21</v>
      </c>
      <c r="C84" t="s">
        <v>45</v>
      </c>
      <c r="D84" t="s">
        <v>66</v>
      </c>
      <c r="E84" t="s">
        <v>74</v>
      </c>
      <c r="F84" t="s">
        <v>92</v>
      </c>
      <c r="G84" t="s">
        <v>400</v>
      </c>
      <c r="H84" t="s">
        <v>406</v>
      </c>
      <c r="I84" t="s">
        <v>419</v>
      </c>
      <c r="M84" s="1">
        <f>AVERAGE(J84:L84)</f>
        <v>0</v>
      </c>
      <c r="N84" s="1">
        <f>M84</f>
        <v>0</v>
      </c>
      <c r="P84" s="3">
        <f>IF(OR(H84="O", NOT(ISNUMBER(M84))), "", IF(COUNTIFS(C$2:C$999, C84, H$2:H$999, H84, M$2:M$999, "&lt;"&amp;M84)+1=1, 9, IF(COUNTIFS(C$2:C$999, C84, H$2:H$999, H84, M$2:M$999, "&lt;"&amp;M84)+1&lt;=8, 10-(COUNTIFS(C$2:C$999, C84, H$2:H$999, H84, M$2:M$999, "&lt;"&amp;M84)+1)-1, "")))</f>
        <v>0</v>
      </c>
      <c r="Q84" s="3">
        <f>IF(AND(N84&lt;&gt;"", O84&lt;&gt;""), 1, "")</f>
        <v>0</v>
      </c>
    </row>
    <row r="85" spans="1:17">
      <c r="A85">
        <v>84</v>
      </c>
      <c r="B85" t="s">
        <v>21</v>
      </c>
      <c r="C85" t="s">
        <v>45</v>
      </c>
      <c r="D85" t="s">
        <v>66</v>
      </c>
      <c r="E85" t="s">
        <v>75</v>
      </c>
      <c r="F85" t="s">
        <v>163</v>
      </c>
      <c r="G85" t="s">
        <v>399</v>
      </c>
      <c r="H85" t="s">
        <v>406</v>
      </c>
      <c r="I85" t="s">
        <v>490</v>
      </c>
      <c r="M85" s="1">
        <f>AVERAGE(J85:L85)</f>
        <v>0</v>
      </c>
      <c r="N85" s="1">
        <f>M85</f>
        <v>0</v>
      </c>
      <c r="P85" s="3">
        <f>IF(OR(H85="O", NOT(ISNUMBER(M85))), "", IF(COUNTIFS(C$2:C$999, C85, H$2:H$999, H85, M$2:M$999, "&lt;"&amp;M85)+1=1, 9, IF(COUNTIFS(C$2:C$999, C85, H$2:H$999, H85, M$2:M$999, "&lt;"&amp;M85)+1&lt;=8, 10-(COUNTIFS(C$2:C$999, C85, H$2:H$999, H85, M$2:M$999, "&lt;"&amp;M85)+1)-1, "")))</f>
        <v>0</v>
      </c>
      <c r="Q85" s="3">
        <f>IF(AND(N85&lt;&gt;"", O85&lt;&gt;""), 1, "")</f>
        <v>0</v>
      </c>
    </row>
    <row r="86" spans="1:17">
      <c r="A86">
        <v>85</v>
      </c>
      <c r="B86" t="s">
        <v>21</v>
      </c>
      <c r="C86" t="s">
        <v>45</v>
      </c>
      <c r="D86" t="s">
        <v>66</v>
      </c>
      <c r="E86" t="s">
        <v>76</v>
      </c>
      <c r="F86" t="s">
        <v>164</v>
      </c>
      <c r="G86" t="s">
        <v>402</v>
      </c>
      <c r="H86" t="s">
        <v>406</v>
      </c>
      <c r="I86" t="s">
        <v>491</v>
      </c>
      <c r="M86" s="1">
        <f>AVERAGE(J86:L86)</f>
        <v>0</v>
      </c>
      <c r="N86" s="1">
        <f>M86</f>
        <v>0</v>
      </c>
      <c r="P86" s="3">
        <f>IF(OR(H86="O", NOT(ISNUMBER(M86))), "", IF(COUNTIFS(C$2:C$999, C86, H$2:H$999, H86, M$2:M$999, "&lt;"&amp;M86)+1=1, 9, IF(COUNTIFS(C$2:C$999, C86, H$2:H$999, H86, M$2:M$999, "&lt;"&amp;M86)+1&lt;=8, 10-(COUNTIFS(C$2:C$999, C86, H$2:H$999, H86, M$2:M$999, "&lt;"&amp;M86)+1)-1, "")))</f>
        <v>0</v>
      </c>
      <c r="Q86" s="3">
        <f>IF(AND(N86&lt;&gt;"", O86&lt;&gt;""), 1, "")</f>
        <v>0</v>
      </c>
    </row>
    <row r="87" spans="1:17">
      <c r="A87">
        <v>86</v>
      </c>
      <c r="B87" t="s">
        <v>21</v>
      </c>
      <c r="C87" t="s">
        <v>45</v>
      </c>
      <c r="D87" t="s">
        <v>66</v>
      </c>
      <c r="E87" t="s">
        <v>77</v>
      </c>
      <c r="F87" t="s">
        <v>165</v>
      </c>
      <c r="G87" t="s">
        <v>399</v>
      </c>
      <c r="H87" t="s">
        <v>405</v>
      </c>
      <c r="I87" t="s">
        <v>492</v>
      </c>
      <c r="M87" s="1">
        <f>AVERAGE(J87:L87)</f>
        <v>0</v>
      </c>
      <c r="N87" s="1">
        <f>M87</f>
        <v>0</v>
      </c>
      <c r="P87" s="3">
        <f>IF(OR(H87="O", NOT(ISNUMBER(M87))), "", IF(COUNTIFS(C$2:C$999, C87, H$2:H$999, H87, M$2:M$999, "&lt;"&amp;M87)+1=1, 9, IF(COUNTIFS(C$2:C$999, C87, H$2:H$999, H87, M$2:M$999, "&lt;"&amp;M87)+1&lt;=8, 10-(COUNTIFS(C$2:C$999, C87, H$2:H$999, H87, M$2:M$999, "&lt;"&amp;M87)+1)-1, "")))</f>
        <v>0</v>
      </c>
      <c r="Q87" s="3">
        <f>IF(AND(N87&lt;&gt;"", O87&lt;&gt;""), 1, "")</f>
        <v>0</v>
      </c>
    </row>
    <row r="88" spans="1:17">
      <c r="A88">
        <v>87</v>
      </c>
      <c r="B88" t="s">
        <v>21</v>
      </c>
      <c r="C88" t="s">
        <v>45</v>
      </c>
      <c r="D88" t="s">
        <v>66</v>
      </c>
      <c r="E88" t="s">
        <v>78</v>
      </c>
      <c r="F88" t="s">
        <v>166</v>
      </c>
      <c r="G88" t="s">
        <v>401</v>
      </c>
      <c r="H88" t="s">
        <v>406</v>
      </c>
      <c r="I88" t="s">
        <v>493</v>
      </c>
      <c r="M88" s="1">
        <f>AVERAGE(J88:L88)</f>
        <v>0</v>
      </c>
      <c r="N88" s="1">
        <f>M88</f>
        <v>0</v>
      </c>
      <c r="P88" s="3">
        <f>IF(OR(H88="O", NOT(ISNUMBER(M88))), "", IF(COUNTIFS(C$2:C$999, C88, H$2:H$999, H88, M$2:M$999, "&lt;"&amp;M88)+1=1, 9, IF(COUNTIFS(C$2:C$999, C88, H$2:H$999, H88, M$2:M$999, "&lt;"&amp;M88)+1&lt;=8, 10-(COUNTIFS(C$2:C$999, C88, H$2:H$999, H88, M$2:M$999, "&lt;"&amp;M88)+1)-1, "")))</f>
        <v>0</v>
      </c>
      <c r="Q88" s="3">
        <f>IF(AND(N88&lt;&gt;"", O88&lt;&gt;""), 1, "")</f>
        <v>0</v>
      </c>
    </row>
    <row r="89" spans="1:17">
      <c r="A89">
        <v>88</v>
      </c>
      <c r="B89" t="s">
        <v>21</v>
      </c>
      <c r="C89" t="s">
        <v>45</v>
      </c>
      <c r="D89" t="s">
        <v>66</v>
      </c>
      <c r="E89" t="s">
        <v>80</v>
      </c>
      <c r="F89" t="s">
        <v>167</v>
      </c>
      <c r="G89" t="s">
        <v>394</v>
      </c>
      <c r="H89" t="s">
        <v>406</v>
      </c>
      <c r="I89" t="s">
        <v>494</v>
      </c>
      <c r="M89" s="1">
        <f>AVERAGE(J89:L89)</f>
        <v>0</v>
      </c>
      <c r="N89" s="1">
        <f>M89</f>
        <v>0</v>
      </c>
      <c r="P89" s="3">
        <f>IF(OR(H89="O", NOT(ISNUMBER(M89))), "", IF(COUNTIFS(C$2:C$999, C89, H$2:H$999, H89, M$2:M$999, "&lt;"&amp;M89)+1=1, 9, IF(COUNTIFS(C$2:C$999, C89, H$2:H$999, H89, M$2:M$999, "&lt;"&amp;M89)+1&lt;=8, 10-(COUNTIFS(C$2:C$999, C89, H$2:H$999, H89, M$2:M$999, "&lt;"&amp;M89)+1)-1, "")))</f>
        <v>0</v>
      </c>
      <c r="Q89" s="3">
        <f>IF(AND(N89&lt;&gt;"", O89&lt;&gt;""), 1, "")</f>
        <v>0</v>
      </c>
    </row>
    <row r="90" spans="1:17">
      <c r="A90">
        <v>89</v>
      </c>
      <c r="B90" t="s">
        <v>22</v>
      </c>
      <c r="C90" t="s">
        <v>46</v>
      </c>
      <c r="D90" t="s">
        <v>65</v>
      </c>
      <c r="E90" t="s">
        <v>71</v>
      </c>
      <c r="F90" t="s">
        <v>168</v>
      </c>
      <c r="G90" t="s">
        <v>390</v>
      </c>
      <c r="H90" t="s">
        <v>404</v>
      </c>
      <c r="I90" t="s">
        <v>495</v>
      </c>
      <c r="M90" s="1">
        <f>AVERAGE(J90:L90)</f>
        <v>0</v>
      </c>
      <c r="N90" s="1">
        <f>M90</f>
        <v>0</v>
      </c>
      <c r="P90" s="3">
        <f>IF(OR(H90="O", NOT(ISNUMBER(M90))), "", IF(COUNTIFS(C$2:C$999, C90, H$2:H$999, H90, M$2:M$999, "&lt;"&amp;M90)+1=1, 9, IF(COUNTIFS(C$2:C$999, C90, H$2:H$999, H90, M$2:M$999, "&lt;"&amp;M90)+1&lt;=8, 10-(COUNTIFS(C$2:C$999, C90, H$2:H$999, H90, M$2:M$999, "&lt;"&amp;M90)+1)-1, "")))</f>
        <v>0</v>
      </c>
      <c r="Q90" s="3">
        <f>IF(AND(N90&lt;&gt;"", O90&lt;&gt;""), 1, "")</f>
        <v>0</v>
      </c>
    </row>
    <row r="91" spans="1:17">
      <c r="A91">
        <v>90</v>
      </c>
      <c r="B91" t="s">
        <v>22</v>
      </c>
      <c r="C91" t="s">
        <v>46</v>
      </c>
      <c r="D91" t="s">
        <v>65</v>
      </c>
      <c r="E91" t="s">
        <v>72</v>
      </c>
      <c r="F91" t="s">
        <v>169</v>
      </c>
      <c r="G91" t="s">
        <v>391</v>
      </c>
      <c r="H91" t="s">
        <v>404</v>
      </c>
      <c r="I91" t="s">
        <v>496</v>
      </c>
      <c r="M91" s="1">
        <f>AVERAGE(J91:L91)</f>
        <v>0</v>
      </c>
      <c r="N91" s="1">
        <f>M91</f>
        <v>0</v>
      </c>
      <c r="P91" s="3">
        <f>IF(OR(H91="O", NOT(ISNUMBER(M91))), "", IF(COUNTIFS(C$2:C$999, C91, H$2:H$999, H91, M$2:M$999, "&lt;"&amp;M91)+1=1, 9, IF(COUNTIFS(C$2:C$999, C91, H$2:H$999, H91, M$2:M$999, "&lt;"&amp;M91)+1&lt;=8, 10-(COUNTIFS(C$2:C$999, C91, H$2:H$999, H91, M$2:M$999, "&lt;"&amp;M91)+1)-1, "")))</f>
        <v>0</v>
      </c>
      <c r="Q91" s="3">
        <f>IF(AND(N91&lt;&gt;"", O91&lt;&gt;""), 1, "")</f>
        <v>0</v>
      </c>
    </row>
    <row r="92" spans="1:17">
      <c r="A92">
        <v>91</v>
      </c>
      <c r="B92" t="s">
        <v>22</v>
      </c>
      <c r="C92" t="s">
        <v>46</v>
      </c>
      <c r="D92" t="s">
        <v>65</v>
      </c>
      <c r="E92" t="s">
        <v>73</v>
      </c>
      <c r="F92" t="s">
        <v>170</v>
      </c>
      <c r="G92" t="s">
        <v>393</v>
      </c>
      <c r="H92" t="s">
        <v>404</v>
      </c>
      <c r="I92" t="s">
        <v>497</v>
      </c>
      <c r="M92" s="1">
        <f>AVERAGE(J92:L92)</f>
        <v>0</v>
      </c>
      <c r="N92" s="1">
        <f>M92</f>
        <v>0</v>
      </c>
      <c r="P92" s="3">
        <f>IF(OR(H92="O", NOT(ISNUMBER(M92))), "", IF(COUNTIFS(C$2:C$999, C92, H$2:H$999, H92, M$2:M$999, "&lt;"&amp;M92)+1=1, 9, IF(COUNTIFS(C$2:C$999, C92, H$2:H$999, H92, M$2:M$999, "&lt;"&amp;M92)+1&lt;=8, 10-(COUNTIFS(C$2:C$999, C92, H$2:H$999, H92, M$2:M$999, "&lt;"&amp;M92)+1)-1, "")))</f>
        <v>0</v>
      </c>
      <c r="Q92" s="3">
        <f>IF(AND(N92&lt;&gt;"", O92&lt;&gt;""), 1, "")</f>
        <v>0</v>
      </c>
    </row>
    <row r="93" spans="1:17">
      <c r="A93">
        <v>92</v>
      </c>
      <c r="B93" t="s">
        <v>22</v>
      </c>
      <c r="C93" t="s">
        <v>46</v>
      </c>
      <c r="D93" t="s">
        <v>65</v>
      </c>
      <c r="E93" t="s">
        <v>74</v>
      </c>
      <c r="F93" t="s">
        <v>171</v>
      </c>
      <c r="G93" t="s">
        <v>392</v>
      </c>
      <c r="H93" t="s">
        <v>404</v>
      </c>
      <c r="I93" t="s">
        <v>498</v>
      </c>
      <c r="M93" s="1">
        <f>AVERAGE(J93:L93)</f>
        <v>0</v>
      </c>
      <c r="N93" s="1">
        <f>M93</f>
        <v>0</v>
      </c>
      <c r="P93" s="3">
        <f>IF(OR(H93="O", NOT(ISNUMBER(M93))), "", IF(COUNTIFS(C$2:C$999, C93, H$2:H$999, H93, M$2:M$999, "&lt;"&amp;M93)+1=1, 9, IF(COUNTIFS(C$2:C$999, C93, H$2:H$999, H93, M$2:M$999, "&lt;"&amp;M93)+1&lt;=8, 10-(COUNTIFS(C$2:C$999, C93, H$2:H$999, H93, M$2:M$999, "&lt;"&amp;M93)+1)-1, "")))</f>
        <v>0</v>
      </c>
      <c r="Q93" s="3">
        <f>IF(AND(N93&lt;&gt;"", O93&lt;&gt;""), 1, "")</f>
        <v>0</v>
      </c>
    </row>
    <row r="94" spans="1:17">
      <c r="A94">
        <v>93</v>
      </c>
      <c r="B94" t="s">
        <v>22</v>
      </c>
      <c r="C94" t="s">
        <v>46</v>
      </c>
      <c r="D94" t="s">
        <v>65</v>
      </c>
      <c r="E94" t="s">
        <v>75</v>
      </c>
      <c r="F94" t="s">
        <v>172</v>
      </c>
      <c r="G94" t="s">
        <v>394</v>
      </c>
      <c r="H94" t="s">
        <v>404</v>
      </c>
      <c r="I94" t="s">
        <v>499</v>
      </c>
      <c r="M94" s="1">
        <f>AVERAGE(J94:L94)</f>
        <v>0</v>
      </c>
      <c r="N94" s="1">
        <f>M94</f>
        <v>0</v>
      </c>
      <c r="P94" s="3">
        <f>IF(OR(H94="O", NOT(ISNUMBER(M94))), "", IF(COUNTIFS(C$2:C$999, C94, H$2:H$999, H94, M$2:M$999, "&lt;"&amp;M94)+1=1, 9, IF(COUNTIFS(C$2:C$999, C94, H$2:H$999, H94, M$2:M$999, "&lt;"&amp;M94)+1&lt;=8, 10-(COUNTIFS(C$2:C$999, C94, H$2:H$999, H94, M$2:M$999, "&lt;"&amp;M94)+1)-1, "")))</f>
        <v>0</v>
      </c>
      <c r="Q94" s="3">
        <f>IF(AND(N94&lt;&gt;"", O94&lt;&gt;""), 1, "")</f>
        <v>0</v>
      </c>
    </row>
    <row r="95" spans="1:17">
      <c r="A95">
        <v>94</v>
      </c>
      <c r="B95" t="s">
        <v>22</v>
      </c>
      <c r="C95" t="s">
        <v>46</v>
      </c>
      <c r="D95" t="s">
        <v>65</v>
      </c>
      <c r="E95" t="s">
        <v>76</v>
      </c>
      <c r="F95" t="s">
        <v>173</v>
      </c>
      <c r="G95" t="s">
        <v>395</v>
      </c>
      <c r="H95" t="s">
        <v>404</v>
      </c>
      <c r="I95" t="s">
        <v>500</v>
      </c>
      <c r="M95" s="1">
        <f>AVERAGE(J95:L95)</f>
        <v>0</v>
      </c>
      <c r="N95" s="1">
        <f>M95</f>
        <v>0</v>
      </c>
      <c r="P95" s="3">
        <f>IF(OR(H95="O", NOT(ISNUMBER(M95))), "", IF(COUNTIFS(C$2:C$999, C95, H$2:H$999, H95, M$2:M$999, "&lt;"&amp;M95)+1=1, 9, IF(COUNTIFS(C$2:C$999, C95, H$2:H$999, H95, M$2:M$999, "&lt;"&amp;M95)+1&lt;=8, 10-(COUNTIFS(C$2:C$999, C95, H$2:H$999, H95, M$2:M$999, "&lt;"&amp;M95)+1)-1, "")))</f>
        <v>0</v>
      </c>
      <c r="Q95" s="3">
        <f>IF(AND(N95&lt;&gt;"", O95&lt;&gt;""), 1, "")</f>
        <v>0</v>
      </c>
    </row>
    <row r="96" spans="1:17">
      <c r="A96">
        <v>95</v>
      </c>
      <c r="B96" t="s">
        <v>22</v>
      </c>
      <c r="C96" t="s">
        <v>46</v>
      </c>
      <c r="D96" t="s">
        <v>65</v>
      </c>
      <c r="E96" t="s">
        <v>77</v>
      </c>
      <c r="F96" t="s">
        <v>174</v>
      </c>
      <c r="G96" t="s">
        <v>396</v>
      </c>
      <c r="H96" t="s">
        <v>404</v>
      </c>
      <c r="I96" t="s">
        <v>501</v>
      </c>
      <c r="M96" s="1">
        <f>AVERAGE(J96:L96)</f>
        <v>0</v>
      </c>
      <c r="N96" s="1">
        <f>M96</f>
        <v>0</v>
      </c>
      <c r="P96" s="3">
        <f>IF(OR(H96="O", NOT(ISNUMBER(M96))), "", IF(COUNTIFS(C$2:C$999, C96, H$2:H$999, H96, M$2:M$999, "&lt;"&amp;M96)+1=1, 9, IF(COUNTIFS(C$2:C$999, C96, H$2:H$999, H96, M$2:M$999, "&lt;"&amp;M96)+1&lt;=8, 10-(COUNTIFS(C$2:C$999, C96, H$2:H$999, H96, M$2:M$999, "&lt;"&amp;M96)+1)-1, "")))</f>
        <v>0</v>
      </c>
      <c r="Q96" s="3">
        <f>IF(AND(N96&lt;&gt;"", O96&lt;&gt;""), 1, "")</f>
        <v>0</v>
      </c>
    </row>
    <row r="97" spans="1:17">
      <c r="A97">
        <v>96</v>
      </c>
      <c r="B97" t="s">
        <v>22</v>
      </c>
      <c r="C97" t="s">
        <v>46</v>
      </c>
      <c r="D97" t="s">
        <v>65</v>
      </c>
      <c r="E97" t="s">
        <v>78</v>
      </c>
      <c r="F97" t="s">
        <v>175</v>
      </c>
      <c r="G97" t="s">
        <v>397</v>
      </c>
      <c r="H97" t="s">
        <v>404</v>
      </c>
      <c r="I97" t="s">
        <v>502</v>
      </c>
      <c r="M97" s="1">
        <f>AVERAGE(J97:L97)</f>
        <v>0</v>
      </c>
      <c r="N97" s="1">
        <f>M97</f>
        <v>0</v>
      </c>
      <c r="P97" s="3">
        <f>IF(OR(H97="O", NOT(ISNUMBER(M97))), "", IF(COUNTIFS(C$2:C$999, C97, H$2:H$999, H97, M$2:M$999, "&lt;"&amp;M97)+1=1, 9, IF(COUNTIFS(C$2:C$999, C97, H$2:H$999, H97, M$2:M$999, "&lt;"&amp;M97)+1&lt;=8, 10-(COUNTIFS(C$2:C$999, C97, H$2:H$999, H97, M$2:M$999, "&lt;"&amp;M97)+1)-1, "")))</f>
        <v>0</v>
      </c>
      <c r="Q97" s="3">
        <f>IF(AND(N97&lt;&gt;"", O97&lt;&gt;""), 1, "")</f>
        <v>0</v>
      </c>
    </row>
    <row r="98" spans="1:17">
      <c r="A98">
        <v>97</v>
      </c>
      <c r="B98" t="s">
        <v>22</v>
      </c>
      <c r="C98" t="s">
        <v>46</v>
      </c>
      <c r="D98" t="s">
        <v>66</v>
      </c>
      <c r="E98" t="s">
        <v>72</v>
      </c>
      <c r="F98" t="s">
        <v>176</v>
      </c>
      <c r="G98" t="s">
        <v>396</v>
      </c>
      <c r="H98" t="s">
        <v>406</v>
      </c>
      <c r="I98" t="s">
        <v>503</v>
      </c>
      <c r="M98" s="1">
        <f>AVERAGE(J98:L98)</f>
        <v>0</v>
      </c>
      <c r="N98" s="1">
        <f>M98</f>
        <v>0</v>
      </c>
      <c r="P98" s="3">
        <f>IF(OR(H98="O", NOT(ISNUMBER(M98))), "", IF(COUNTIFS(C$2:C$999, C98, H$2:H$999, H98, M$2:M$999, "&lt;"&amp;M98)+1=1, 9, IF(COUNTIFS(C$2:C$999, C98, H$2:H$999, H98, M$2:M$999, "&lt;"&amp;M98)+1&lt;=8, 10-(COUNTIFS(C$2:C$999, C98, H$2:H$999, H98, M$2:M$999, "&lt;"&amp;M98)+1)-1, "")))</f>
        <v>0</v>
      </c>
      <c r="Q98" s="3">
        <f>IF(AND(N98&lt;&gt;"", O98&lt;&gt;""), 1, "")</f>
        <v>0</v>
      </c>
    </row>
    <row r="99" spans="1:17">
      <c r="A99">
        <v>98</v>
      </c>
      <c r="B99" t="s">
        <v>22</v>
      </c>
      <c r="C99" t="s">
        <v>46</v>
      </c>
      <c r="D99" t="s">
        <v>66</v>
      </c>
      <c r="E99" t="s">
        <v>73</v>
      </c>
      <c r="F99" t="s">
        <v>177</v>
      </c>
      <c r="G99" t="s">
        <v>401</v>
      </c>
      <c r="H99" t="s">
        <v>406</v>
      </c>
      <c r="I99" t="s">
        <v>504</v>
      </c>
      <c r="M99" s="1">
        <f>AVERAGE(J99:L99)</f>
        <v>0</v>
      </c>
      <c r="N99" s="1">
        <f>M99</f>
        <v>0</v>
      </c>
      <c r="P99" s="3">
        <f>IF(OR(H99="O", NOT(ISNUMBER(M99))), "", IF(COUNTIFS(C$2:C$999, C99, H$2:H$999, H99, M$2:M$999, "&lt;"&amp;M99)+1=1, 9, IF(COUNTIFS(C$2:C$999, C99, H$2:H$999, H99, M$2:M$999, "&lt;"&amp;M99)+1&lt;=8, 10-(COUNTIFS(C$2:C$999, C99, H$2:H$999, H99, M$2:M$999, "&lt;"&amp;M99)+1)-1, "")))</f>
        <v>0</v>
      </c>
      <c r="Q99" s="3">
        <f>IF(AND(N99&lt;&gt;"", O99&lt;&gt;""), 1, "")</f>
        <v>0</v>
      </c>
    </row>
    <row r="100" spans="1:17">
      <c r="A100">
        <v>99</v>
      </c>
      <c r="B100" t="s">
        <v>22</v>
      </c>
      <c r="C100" t="s">
        <v>46</v>
      </c>
      <c r="D100" t="s">
        <v>66</v>
      </c>
      <c r="E100" t="s">
        <v>74</v>
      </c>
      <c r="F100" t="s">
        <v>110</v>
      </c>
      <c r="G100" t="s">
        <v>400</v>
      </c>
      <c r="H100" t="s">
        <v>405</v>
      </c>
      <c r="I100" t="s">
        <v>437</v>
      </c>
      <c r="M100" s="1">
        <f>AVERAGE(J100:L100)</f>
        <v>0</v>
      </c>
      <c r="N100" s="1">
        <f>M100</f>
        <v>0</v>
      </c>
      <c r="P100" s="3">
        <f>IF(OR(H100="O", NOT(ISNUMBER(M100))), "", IF(COUNTIFS(C$2:C$999, C100, H$2:H$999, H100, M$2:M$999, "&lt;"&amp;M100)+1=1, 9, IF(COUNTIFS(C$2:C$999, C100, H$2:H$999, H100, M$2:M$999, "&lt;"&amp;M100)+1&lt;=8, 10-(COUNTIFS(C$2:C$999, C100, H$2:H$999, H100, M$2:M$999, "&lt;"&amp;M100)+1)-1, "")))</f>
        <v>0</v>
      </c>
      <c r="Q100" s="3">
        <f>IF(AND(N100&lt;&gt;"", O100&lt;&gt;""), 1, "")</f>
        <v>0</v>
      </c>
    </row>
    <row r="101" spans="1:17">
      <c r="A101">
        <v>100</v>
      </c>
      <c r="B101" t="s">
        <v>22</v>
      </c>
      <c r="C101" t="s">
        <v>46</v>
      </c>
      <c r="D101" t="s">
        <v>66</v>
      </c>
      <c r="E101" t="s">
        <v>75</v>
      </c>
      <c r="F101" t="s">
        <v>178</v>
      </c>
      <c r="G101" t="s">
        <v>390</v>
      </c>
      <c r="H101" t="s">
        <v>406</v>
      </c>
      <c r="I101" t="s">
        <v>505</v>
      </c>
      <c r="M101" s="1">
        <f>AVERAGE(J101:L101)</f>
        <v>0</v>
      </c>
      <c r="N101" s="1">
        <f>M101</f>
        <v>0</v>
      </c>
      <c r="P101" s="3">
        <f>IF(OR(H101="O", NOT(ISNUMBER(M101))), "", IF(COUNTIFS(C$2:C$999, C101, H$2:H$999, H101, M$2:M$999, "&lt;"&amp;M101)+1=1, 9, IF(COUNTIFS(C$2:C$999, C101, H$2:H$999, H101, M$2:M$999, "&lt;"&amp;M101)+1&lt;=8, 10-(COUNTIFS(C$2:C$999, C101, H$2:H$999, H101, M$2:M$999, "&lt;"&amp;M101)+1)-1, "")))</f>
        <v>0</v>
      </c>
      <c r="Q101" s="3">
        <f>IF(AND(N101&lt;&gt;"", O101&lt;&gt;""), 1, "")</f>
        <v>0</v>
      </c>
    </row>
    <row r="102" spans="1:17">
      <c r="A102">
        <v>101</v>
      </c>
      <c r="B102" t="s">
        <v>22</v>
      </c>
      <c r="C102" t="s">
        <v>46</v>
      </c>
      <c r="D102" t="s">
        <v>66</v>
      </c>
      <c r="E102" t="s">
        <v>76</v>
      </c>
      <c r="F102" t="s">
        <v>179</v>
      </c>
      <c r="G102" t="s">
        <v>391</v>
      </c>
      <c r="H102" t="s">
        <v>406</v>
      </c>
      <c r="I102" t="s">
        <v>506</v>
      </c>
      <c r="M102" s="1">
        <f>AVERAGE(J102:L102)</f>
        <v>0</v>
      </c>
      <c r="N102" s="1">
        <f>M102</f>
        <v>0</v>
      </c>
      <c r="P102" s="3">
        <f>IF(OR(H102="O", NOT(ISNUMBER(M102))), "", IF(COUNTIFS(C$2:C$999, C102, H$2:H$999, H102, M$2:M$999, "&lt;"&amp;M102)+1=1, 9, IF(COUNTIFS(C$2:C$999, C102, H$2:H$999, H102, M$2:M$999, "&lt;"&amp;M102)+1&lt;=8, 10-(COUNTIFS(C$2:C$999, C102, H$2:H$999, H102, M$2:M$999, "&lt;"&amp;M102)+1)-1, "")))</f>
        <v>0</v>
      </c>
      <c r="Q102" s="3">
        <f>IF(AND(N102&lt;&gt;"", O102&lt;&gt;""), 1, "")</f>
        <v>0</v>
      </c>
    </row>
    <row r="103" spans="1:17">
      <c r="A103">
        <v>102</v>
      </c>
      <c r="B103" t="s">
        <v>22</v>
      </c>
      <c r="C103" t="s">
        <v>46</v>
      </c>
      <c r="D103" t="s">
        <v>66</v>
      </c>
      <c r="E103" t="s">
        <v>77</v>
      </c>
      <c r="F103" t="s">
        <v>180</v>
      </c>
      <c r="G103" t="s">
        <v>392</v>
      </c>
      <c r="H103" t="s">
        <v>406</v>
      </c>
      <c r="I103" t="s">
        <v>507</v>
      </c>
      <c r="M103" s="1">
        <f>AVERAGE(J103:L103)</f>
        <v>0</v>
      </c>
      <c r="N103" s="1">
        <f>M103</f>
        <v>0</v>
      </c>
      <c r="P103" s="3">
        <f>IF(OR(H103="O", NOT(ISNUMBER(M103))), "", IF(COUNTIFS(C$2:C$999, C103, H$2:H$999, H103, M$2:M$999, "&lt;"&amp;M103)+1=1, 9, IF(COUNTIFS(C$2:C$999, C103, H$2:H$999, H103, M$2:M$999, "&lt;"&amp;M103)+1&lt;=8, 10-(COUNTIFS(C$2:C$999, C103, H$2:H$999, H103, M$2:M$999, "&lt;"&amp;M103)+1)-1, "")))</f>
        <v>0</v>
      </c>
      <c r="Q103" s="3">
        <f>IF(AND(N103&lt;&gt;"", O103&lt;&gt;""), 1, "")</f>
        <v>0</v>
      </c>
    </row>
    <row r="104" spans="1:17">
      <c r="A104">
        <v>103</v>
      </c>
      <c r="B104" t="s">
        <v>22</v>
      </c>
      <c r="C104" t="s">
        <v>46</v>
      </c>
      <c r="D104" t="s">
        <v>67</v>
      </c>
      <c r="E104" t="s">
        <v>71</v>
      </c>
      <c r="F104" t="s">
        <v>109</v>
      </c>
      <c r="G104" t="s">
        <v>402</v>
      </c>
      <c r="H104" t="s">
        <v>405</v>
      </c>
      <c r="I104" t="s">
        <v>436</v>
      </c>
      <c r="M104" s="1">
        <f>AVERAGE(J104:L104)</f>
        <v>0</v>
      </c>
      <c r="N104" s="1">
        <f>M104</f>
        <v>0</v>
      </c>
      <c r="P104" s="3">
        <f>IF(OR(H104="O", NOT(ISNUMBER(M104))), "", IF(COUNTIFS(C$2:C$999, C104, H$2:H$999, H104, M$2:M$999, "&lt;"&amp;M104)+1=1, 9, IF(COUNTIFS(C$2:C$999, C104, H$2:H$999, H104, M$2:M$999, "&lt;"&amp;M104)+1&lt;=8, 10-(COUNTIFS(C$2:C$999, C104, H$2:H$999, H104, M$2:M$999, "&lt;"&amp;M104)+1)-1, "")))</f>
        <v>0</v>
      </c>
      <c r="Q104" s="3">
        <f>IF(AND(N104&lt;&gt;"", O104&lt;&gt;""), 1, "")</f>
        <v>0</v>
      </c>
    </row>
    <row r="105" spans="1:17">
      <c r="A105">
        <v>104</v>
      </c>
      <c r="B105" t="s">
        <v>22</v>
      </c>
      <c r="C105" t="s">
        <v>46</v>
      </c>
      <c r="D105" t="s">
        <v>67</v>
      </c>
      <c r="E105" t="s">
        <v>72</v>
      </c>
      <c r="F105" t="s">
        <v>108</v>
      </c>
      <c r="G105" t="s">
        <v>402</v>
      </c>
      <c r="H105" t="s">
        <v>406</v>
      </c>
      <c r="I105" t="s">
        <v>435</v>
      </c>
      <c r="M105" s="1">
        <f>AVERAGE(J105:L105)</f>
        <v>0</v>
      </c>
      <c r="N105" s="1">
        <f>M105</f>
        <v>0</v>
      </c>
      <c r="P105" s="3">
        <f>IF(OR(H105="O", NOT(ISNUMBER(M105))), "", IF(COUNTIFS(C$2:C$999, C105, H$2:H$999, H105, M$2:M$999, "&lt;"&amp;M105)+1=1, 9, IF(COUNTIFS(C$2:C$999, C105, H$2:H$999, H105, M$2:M$999, "&lt;"&amp;M105)+1&lt;=8, 10-(COUNTIFS(C$2:C$999, C105, H$2:H$999, H105, M$2:M$999, "&lt;"&amp;M105)+1)-1, "")))</f>
        <v>0</v>
      </c>
      <c r="Q105" s="3">
        <f>IF(AND(N105&lt;&gt;"", O105&lt;&gt;""), 1, "")</f>
        <v>0</v>
      </c>
    </row>
    <row r="106" spans="1:17">
      <c r="A106">
        <v>105</v>
      </c>
      <c r="B106" t="s">
        <v>22</v>
      </c>
      <c r="C106" t="s">
        <v>46</v>
      </c>
      <c r="D106" t="s">
        <v>67</v>
      </c>
      <c r="E106" t="s">
        <v>73</v>
      </c>
      <c r="F106" t="s">
        <v>116</v>
      </c>
      <c r="G106" t="s">
        <v>399</v>
      </c>
      <c r="H106" t="s">
        <v>406</v>
      </c>
      <c r="I106" t="s">
        <v>443</v>
      </c>
      <c r="M106" s="1">
        <f>AVERAGE(J106:L106)</f>
        <v>0</v>
      </c>
      <c r="N106" s="1">
        <f>M106</f>
        <v>0</v>
      </c>
      <c r="P106" s="3">
        <f>IF(OR(H106="O", NOT(ISNUMBER(M106))), "", IF(COUNTIFS(C$2:C$999, C106, H$2:H$999, H106, M$2:M$999, "&lt;"&amp;M106)+1=1, 9, IF(COUNTIFS(C$2:C$999, C106, H$2:H$999, H106, M$2:M$999, "&lt;"&amp;M106)+1&lt;=8, 10-(COUNTIFS(C$2:C$999, C106, H$2:H$999, H106, M$2:M$999, "&lt;"&amp;M106)+1)-1, "")))</f>
        <v>0</v>
      </c>
      <c r="Q106" s="3">
        <f>IF(AND(N106&lt;&gt;"", O106&lt;&gt;""), 1, "")</f>
        <v>0</v>
      </c>
    </row>
    <row r="107" spans="1:17">
      <c r="A107">
        <v>106</v>
      </c>
      <c r="B107" t="s">
        <v>22</v>
      </c>
      <c r="C107" t="s">
        <v>46</v>
      </c>
      <c r="D107" t="s">
        <v>67</v>
      </c>
      <c r="E107" t="s">
        <v>74</v>
      </c>
      <c r="F107" t="s">
        <v>181</v>
      </c>
      <c r="G107" t="s">
        <v>403</v>
      </c>
      <c r="H107" t="s">
        <v>406</v>
      </c>
      <c r="I107" t="s">
        <v>508</v>
      </c>
      <c r="M107" s="1">
        <f>AVERAGE(J107:L107)</f>
        <v>0</v>
      </c>
      <c r="N107" s="1">
        <f>M107</f>
        <v>0</v>
      </c>
      <c r="P107" s="3">
        <f>IF(OR(H107="O", NOT(ISNUMBER(M107))), "", IF(COUNTIFS(C$2:C$999, C107, H$2:H$999, H107, M$2:M$999, "&lt;"&amp;M107)+1=1, 9, IF(COUNTIFS(C$2:C$999, C107, H$2:H$999, H107, M$2:M$999, "&lt;"&amp;M107)+1&lt;=8, 10-(COUNTIFS(C$2:C$999, C107, H$2:H$999, H107, M$2:M$999, "&lt;"&amp;M107)+1)-1, "")))</f>
        <v>0</v>
      </c>
      <c r="Q107" s="3">
        <f>IF(AND(N107&lt;&gt;"", O107&lt;&gt;""), 1, "")</f>
        <v>0</v>
      </c>
    </row>
    <row r="108" spans="1:17">
      <c r="A108">
        <v>107</v>
      </c>
      <c r="B108" t="s">
        <v>22</v>
      </c>
      <c r="C108" t="s">
        <v>46</v>
      </c>
      <c r="D108" t="s">
        <v>67</v>
      </c>
      <c r="E108" t="s">
        <v>75</v>
      </c>
      <c r="F108" t="s">
        <v>114</v>
      </c>
      <c r="G108" t="s">
        <v>394</v>
      </c>
      <c r="H108" t="s">
        <v>406</v>
      </c>
      <c r="I108" t="s">
        <v>441</v>
      </c>
      <c r="M108" s="1">
        <f>AVERAGE(J108:L108)</f>
        <v>0</v>
      </c>
      <c r="N108" s="1">
        <f>M108</f>
        <v>0</v>
      </c>
      <c r="P108" s="3">
        <f>IF(OR(H108="O", NOT(ISNUMBER(M108))), "", IF(COUNTIFS(C$2:C$999, C108, H$2:H$999, H108, M$2:M$999, "&lt;"&amp;M108)+1=1, 9, IF(COUNTIFS(C$2:C$999, C108, H$2:H$999, H108, M$2:M$999, "&lt;"&amp;M108)+1&lt;=8, 10-(COUNTIFS(C$2:C$999, C108, H$2:H$999, H108, M$2:M$999, "&lt;"&amp;M108)+1)-1, "")))</f>
        <v>0</v>
      </c>
      <c r="Q108" s="3">
        <f>IF(AND(N108&lt;&gt;"", O108&lt;&gt;""), 1, "")</f>
        <v>0</v>
      </c>
    </row>
    <row r="109" spans="1:17">
      <c r="A109">
        <v>108</v>
      </c>
      <c r="B109" t="s">
        <v>22</v>
      </c>
      <c r="C109" t="s">
        <v>46</v>
      </c>
      <c r="D109" t="s">
        <v>67</v>
      </c>
      <c r="E109" t="s">
        <v>76</v>
      </c>
      <c r="F109" t="s">
        <v>182</v>
      </c>
      <c r="G109" t="s">
        <v>398</v>
      </c>
      <c r="H109" t="s">
        <v>406</v>
      </c>
      <c r="I109" t="s">
        <v>509</v>
      </c>
      <c r="M109" s="1">
        <f>AVERAGE(J109:L109)</f>
        <v>0</v>
      </c>
      <c r="N109" s="1">
        <f>M109</f>
        <v>0</v>
      </c>
      <c r="P109" s="3">
        <f>IF(OR(H109="O", NOT(ISNUMBER(M109))), "", IF(COUNTIFS(C$2:C$999, C109, H$2:H$999, H109, M$2:M$999, "&lt;"&amp;M109)+1=1, 9, IF(COUNTIFS(C$2:C$999, C109, H$2:H$999, H109, M$2:M$999, "&lt;"&amp;M109)+1&lt;=8, 10-(COUNTIFS(C$2:C$999, C109, H$2:H$999, H109, M$2:M$999, "&lt;"&amp;M109)+1)-1, "")))</f>
        <v>0</v>
      </c>
      <c r="Q109" s="3">
        <f>IF(AND(N109&lt;&gt;"", O109&lt;&gt;""), 1, "")</f>
        <v>0</v>
      </c>
    </row>
    <row r="110" spans="1:17">
      <c r="A110">
        <v>109</v>
      </c>
      <c r="B110" t="s">
        <v>22</v>
      </c>
      <c r="C110" t="s">
        <v>46</v>
      </c>
      <c r="D110" t="s">
        <v>67</v>
      </c>
      <c r="E110" t="s">
        <v>77</v>
      </c>
      <c r="F110" t="s">
        <v>183</v>
      </c>
      <c r="G110" t="s">
        <v>400</v>
      </c>
      <c r="H110" t="s">
        <v>406</v>
      </c>
      <c r="I110" t="s">
        <v>510</v>
      </c>
      <c r="M110" s="1">
        <f>AVERAGE(J110:L110)</f>
        <v>0</v>
      </c>
      <c r="N110" s="1">
        <f>M110</f>
        <v>0</v>
      </c>
      <c r="P110" s="3">
        <f>IF(OR(H110="O", NOT(ISNUMBER(M110))), "", IF(COUNTIFS(C$2:C$999, C110, H$2:H$999, H110, M$2:M$999, "&lt;"&amp;M110)+1=1, 9, IF(COUNTIFS(C$2:C$999, C110, H$2:H$999, H110, M$2:M$999, "&lt;"&amp;M110)+1&lt;=8, 10-(COUNTIFS(C$2:C$999, C110, H$2:H$999, H110, M$2:M$999, "&lt;"&amp;M110)+1)-1, "")))</f>
        <v>0</v>
      </c>
      <c r="Q110" s="3">
        <f>IF(AND(N110&lt;&gt;"", O110&lt;&gt;""), 1, "")</f>
        <v>0</v>
      </c>
    </row>
    <row r="111" spans="1:17">
      <c r="A111">
        <v>110</v>
      </c>
      <c r="B111" t="s">
        <v>23</v>
      </c>
      <c r="C111" t="s">
        <v>47</v>
      </c>
      <c r="D111" t="s">
        <v>65</v>
      </c>
      <c r="E111" t="s">
        <v>71</v>
      </c>
      <c r="F111" t="s">
        <v>184</v>
      </c>
      <c r="G111" t="s">
        <v>390</v>
      </c>
      <c r="H111" t="s">
        <v>404</v>
      </c>
      <c r="I111" t="s">
        <v>511</v>
      </c>
      <c r="M111" s="1">
        <f>AVERAGE(J111:L111)</f>
        <v>0</v>
      </c>
      <c r="N111" s="1">
        <f>M111</f>
        <v>0</v>
      </c>
      <c r="P111" s="3">
        <f>IF(OR(H111="O", NOT(ISNUMBER(M111))), "", IF(COUNTIFS(C$2:C$999, C111, H$2:H$999, H111, M$2:M$999, "&lt;"&amp;M111)+1=1, 9, IF(COUNTIFS(C$2:C$999, C111, H$2:H$999, H111, M$2:M$999, "&lt;"&amp;M111)+1&lt;=8, 10-(COUNTIFS(C$2:C$999, C111, H$2:H$999, H111, M$2:M$999, "&lt;"&amp;M111)+1)-1, "")))</f>
        <v>0</v>
      </c>
      <c r="Q111" s="3">
        <f>IF(AND(N111&lt;&gt;"", O111&lt;&gt;""), 1, "")</f>
        <v>0</v>
      </c>
    </row>
    <row r="112" spans="1:17">
      <c r="A112">
        <v>111</v>
      </c>
      <c r="B112" t="s">
        <v>23</v>
      </c>
      <c r="C112" t="s">
        <v>47</v>
      </c>
      <c r="D112" t="s">
        <v>65</v>
      </c>
      <c r="E112" t="s">
        <v>72</v>
      </c>
      <c r="F112" t="s">
        <v>185</v>
      </c>
      <c r="G112" t="s">
        <v>391</v>
      </c>
      <c r="H112" t="s">
        <v>404</v>
      </c>
      <c r="I112" t="s">
        <v>512</v>
      </c>
      <c r="M112" s="1">
        <f>AVERAGE(J112:L112)</f>
        <v>0</v>
      </c>
      <c r="N112" s="1">
        <f>M112</f>
        <v>0</v>
      </c>
      <c r="P112" s="3">
        <f>IF(OR(H112="O", NOT(ISNUMBER(M112))), "", IF(COUNTIFS(C$2:C$999, C112, H$2:H$999, H112, M$2:M$999, "&lt;"&amp;M112)+1=1, 9, IF(COUNTIFS(C$2:C$999, C112, H$2:H$999, H112, M$2:M$999, "&lt;"&amp;M112)+1&lt;=8, 10-(COUNTIFS(C$2:C$999, C112, H$2:H$999, H112, M$2:M$999, "&lt;"&amp;M112)+1)-1, "")))</f>
        <v>0</v>
      </c>
      <c r="Q112" s="3">
        <f>IF(AND(N112&lt;&gt;"", O112&lt;&gt;""), 1, "")</f>
        <v>0</v>
      </c>
    </row>
    <row r="113" spans="1:17">
      <c r="A113">
        <v>112</v>
      </c>
      <c r="B113" t="s">
        <v>23</v>
      </c>
      <c r="C113" t="s">
        <v>47</v>
      </c>
      <c r="D113" t="s">
        <v>65</v>
      </c>
      <c r="E113" t="s">
        <v>73</v>
      </c>
      <c r="F113" t="s">
        <v>186</v>
      </c>
      <c r="G113" t="s">
        <v>393</v>
      </c>
      <c r="H113" t="s">
        <v>404</v>
      </c>
      <c r="I113" t="s">
        <v>513</v>
      </c>
      <c r="M113" s="1">
        <f>AVERAGE(J113:L113)</f>
        <v>0</v>
      </c>
      <c r="N113" s="1">
        <f>M113</f>
        <v>0</v>
      </c>
      <c r="P113" s="3">
        <f>IF(OR(H113="O", NOT(ISNUMBER(M113))), "", IF(COUNTIFS(C$2:C$999, C113, H$2:H$999, H113, M$2:M$999, "&lt;"&amp;M113)+1=1, 9, IF(COUNTIFS(C$2:C$999, C113, H$2:H$999, H113, M$2:M$999, "&lt;"&amp;M113)+1&lt;=8, 10-(COUNTIFS(C$2:C$999, C113, H$2:H$999, H113, M$2:M$999, "&lt;"&amp;M113)+1)-1, "")))</f>
        <v>0</v>
      </c>
      <c r="Q113" s="3">
        <f>IF(AND(N113&lt;&gt;"", O113&lt;&gt;""), 1, "")</f>
        <v>0</v>
      </c>
    </row>
    <row r="114" spans="1:17">
      <c r="A114">
        <v>113</v>
      </c>
      <c r="B114" t="s">
        <v>23</v>
      </c>
      <c r="C114" t="s">
        <v>47</v>
      </c>
      <c r="D114" t="s">
        <v>65</v>
      </c>
      <c r="E114" t="s">
        <v>74</v>
      </c>
      <c r="F114" t="s">
        <v>85</v>
      </c>
      <c r="G114" t="s">
        <v>394</v>
      </c>
      <c r="H114" t="s">
        <v>404</v>
      </c>
      <c r="I114" t="s">
        <v>412</v>
      </c>
      <c r="M114" s="1">
        <f>AVERAGE(J114:L114)</f>
        <v>0</v>
      </c>
      <c r="N114" s="1">
        <f>M114</f>
        <v>0</v>
      </c>
      <c r="P114" s="3">
        <f>IF(OR(H114="O", NOT(ISNUMBER(M114))), "", IF(COUNTIFS(C$2:C$999, C114, H$2:H$999, H114, M$2:M$999, "&lt;"&amp;M114)+1=1, 9, IF(COUNTIFS(C$2:C$999, C114, H$2:H$999, H114, M$2:M$999, "&lt;"&amp;M114)+1&lt;=8, 10-(COUNTIFS(C$2:C$999, C114, H$2:H$999, H114, M$2:M$999, "&lt;"&amp;M114)+1)-1, "")))</f>
        <v>0</v>
      </c>
      <c r="Q114" s="3">
        <f>IF(AND(N114&lt;&gt;"", O114&lt;&gt;""), 1, "")</f>
        <v>0</v>
      </c>
    </row>
    <row r="115" spans="1:17">
      <c r="A115">
        <v>114</v>
      </c>
      <c r="B115" t="s">
        <v>23</v>
      </c>
      <c r="C115" t="s">
        <v>47</v>
      </c>
      <c r="D115" t="s">
        <v>65</v>
      </c>
      <c r="E115" t="s">
        <v>75</v>
      </c>
      <c r="F115" t="s">
        <v>187</v>
      </c>
      <c r="G115" t="s">
        <v>399</v>
      </c>
      <c r="H115" t="s">
        <v>405</v>
      </c>
      <c r="I115" t="s">
        <v>514</v>
      </c>
      <c r="M115" s="1">
        <f>AVERAGE(J115:L115)</f>
        <v>0</v>
      </c>
      <c r="N115" s="1">
        <f>M115</f>
        <v>0</v>
      </c>
      <c r="P115" s="3">
        <f>IF(OR(H115="O", NOT(ISNUMBER(M115))), "", IF(COUNTIFS(C$2:C$999, C115, H$2:H$999, H115, M$2:M$999, "&lt;"&amp;M115)+1=1, 9, IF(COUNTIFS(C$2:C$999, C115, H$2:H$999, H115, M$2:M$999, "&lt;"&amp;M115)+1&lt;=8, 10-(COUNTIFS(C$2:C$999, C115, H$2:H$999, H115, M$2:M$999, "&lt;"&amp;M115)+1)-1, "")))</f>
        <v>0</v>
      </c>
      <c r="Q115" s="3">
        <f>IF(AND(N115&lt;&gt;"", O115&lt;&gt;""), 1, "")</f>
        <v>0</v>
      </c>
    </row>
    <row r="116" spans="1:17">
      <c r="A116">
        <v>115</v>
      </c>
      <c r="B116" t="s">
        <v>23</v>
      </c>
      <c r="C116" t="s">
        <v>47</v>
      </c>
      <c r="D116" t="s">
        <v>65</v>
      </c>
      <c r="E116" t="s">
        <v>76</v>
      </c>
      <c r="F116" t="s">
        <v>165</v>
      </c>
      <c r="G116" t="s">
        <v>399</v>
      </c>
      <c r="H116" t="s">
        <v>405</v>
      </c>
      <c r="I116" t="s">
        <v>492</v>
      </c>
      <c r="M116" s="1">
        <f>AVERAGE(J116:L116)</f>
        <v>0</v>
      </c>
      <c r="N116" s="1">
        <f>M116</f>
        <v>0</v>
      </c>
      <c r="P116" s="3">
        <f>IF(OR(H116="O", NOT(ISNUMBER(M116))), "", IF(COUNTIFS(C$2:C$999, C116, H$2:H$999, H116, M$2:M$999, "&lt;"&amp;M116)+1=1, 9, IF(COUNTIFS(C$2:C$999, C116, H$2:H$999, H116, M$2:M$999, "&lt;"&amp;M116)+1&lt;=8, 10-(COUNTIFS(C$2:C$999, C116, H$2:H$999, H116, M$2:M$999, "&lt;"&amp;M116)+1)-1, "")))</f>
        <v>0</v>
      </c>
      <c r="Q116" s="3">
        <f>IF(AND(N116&lt;&gt;"", O116&lt;&gt;""), 1, "")</f>
        <v>0</v>
      </c>
    </row>
    <row r="117" spans="1:17">
      <c r="A117">
        <v>116</v>
      </c>
      <c r="B117" t="s">
        <v>23</v>
      </c>
      <c r="C117" t="s">
        <v>47</v>
      </c>
      <c r="D117" t="s">
        <v>65</v>
      </c>
      <c r="E117" t="s">
        <v>77</v>
      </c>
      <c r="F117" t="s">
        <v>188</v>
      </c>
      <c r="G117" t="s">
        <v>395</v>
      </c>
      <c r="H117" t="s">
        <v>404</v>
      </c>
      <c r="I117" t="s">
        <v>515</v>
      </c>
      <c r="M117" s="1">
        <f>AVERAGE(J117:L117)</f>
        <v>0</v>
      </c>
      <c r="N117" s="1">
        <f>M117</f>
        <v>0</v>
      </c>
      <c r="P117" s="3">
        <f>IF(OR(H117="O", NOT(ISNUMBER(M117))), "", IF(COUNTIFS(C$2:C$999, C117, H$2:H$999, H117, M$2:M$999, "&lt;"&amp;M117)+1=1, 9, IF(COUNTIFS(C$2:C$999, C117, H$2:H$999, H117, M$2:M$999, "&lt;"&amp;M117)+1&lt;=8, 10-(COUNTIFS(C$2:C$999, C117, H$2:H$999, H117, M$2:M$999, "&lt;"&amp;M117)+1)-1, "")))</f>
        <v>0</v>
      </c>
      <c r="Q117" s="3">
        <f>IF(AND(N117&lt;&gt;"", O117&lt;&gt;""), 1, "")</f>
        <v>0</v>
      </c>
    </row>
    <row r="118" spans="1:17">
      <c r="A118">
        <v>117</v>
      </c>
      <c r="B118" t="s">
        <v>23</v>
      </c>
      <c r="C118" t="s">
        <v>47</v>
      </c>
      <c r="D118" t="s">
        <v>65</v>
      </c>
      <c r="E118" t="s">
        <v>78</v>
      </c>
      <c r="F118" t="s">
        <v>189</v>
      </c>
      <c r="G118" t="s">
        <v>396</v>
      </c>
      <c r="H118" t="s">
        <v>404</v>
      </c>
      <c r="I118" t="s">
        <v>516</v>
      </c>
      <c r="M118" s="1">
        <f>AVERAGE(J118:L118)</f>
        <v>0</v>
      </c>
      <c r="N118" s="1">
        <f>M118</f>
        <v>0</v>
      </c>
      <c r="P118" s="3">
        <f>IF(OR(H118="O", NOT(ISNUMBER(M118))), "", IF(COUNTIFS(C$2:C$999, C118, H$2:H$999, H118, M$2:M$999, "&lt;"&amp;M118)+1=1, 9, IF(COUNTIFS(C$2:C$999, C118, H$2:H$999, H118, M$2:M$999, "&lt;"&amp;M118)+1&lt;=8, 10-(COUNTIFS(C$2:C$999, C118, H$2:H$999, H118, M$2:M$999, "&lt;"&amp;M118)+1)-1, "")))</f>
        <v>0</v>
      </c>
      <c r="Q118" s="3">
        <f>IF(AND(N118&lt;&gt;"", O118&lt;&gt;""), 1, "")</f>
        <v>0</v>
      </c>
    </row>
    <row r="119" spans="1:17">
      <c r="A119">
        <v>118</v>
      </c>
      <c r="B119" t="s">
        <v>23</v>
      </c>
      <c r="C119" t="s">
        <v>47</v>
      </c>
      <c r="D119" t="s">
        <v>65</v>
      </c>
      <c r="E119" t="s">
        <v>80</v>
      </c>
      <c r="F119" t="s">
        <v>190</v>
      </c>
      <c r="G119" t="s">
        <v>403</v>
      </c>
      <c r="H119" t="s">
        <v>405</v>
      </c>
      <c r="I119" t="s">
        <v>517</v>
      </c>
      <c r="M119" s="1">
        <f>AVERAGE(J119:L119)</f>
        <v>0</v>
      </c>
      <c r="N119" s="1">
        <f>M119</f>
        <v>0</v>
      </c>
      <c r="P119" s="3">
        <f>IF(OR(H119="O", NOT(ISNUMBER(M119))), "", IF(COUNTIFS(C$2:C$999, C119, H$2:H$999, H119, M$2:M$999, "&lt;"&amp;M119)+1=1, 9, IF(COUNTIFS(C$2:C$999, C119, H$2:H$999, H119, M$2:M$999, "&lt;"&amp;M119)+1&lt;=8, 10-(COUNTIFS(C$2:C$999, C119, H$2:H$999, H119, M$2:M$999, "&lt;"&amp;M119)+1)-1, "")))</f>
        <v>0</v>
      </c>
      <c r="Q119" s="3">
        <f>IF(AND(N119&lt;&gt;"", O119&lt;&gt;""), 1, "")</f>
        <v>0</v>
      </c>
    </row>
    <row r="120" spans="1:17">
      <c r="A120">
        <v>119</v>
      </c>
      <c r="B120" t="s">
        <v>23</v>
      </c>
      <c r="C120" t="s">
        <v>47</v>
      </c>
      <c r="D120" t="s">
        <v>66</v>
      </c>
      <c r="E120" t="s">
        <v>71</v>
      </c>
      <c r="F120" t="s">
        <v>162</v>
      </c>
      <c r="G120" t="s">
        <v>403</v>
      </c>
      <c r="H120" t="s">
        <v>406</v>
      </c>
      <c r="I120" t="s">
        <v>489</v>
      </c>
      <c r="M120" s="1">
        <f>AVERAGE(J120:L120)</f>
        <v>0</v>
      </c>
      <c r="N120" s="1">
        <f>M120</f>
        <v>0</v>
      </c>
      <c r="P120" s="3">
        <f>IF(OR(H120="O", NOT(ISNUMBER(M120))), "", IF(COUNTIFS(C$2:C$999, C120, H$2:H$999, H120, M$2:M$999, "&lt;"&amp;M120)+1=1, 9, IF(COUNTIFS(C$2:C$999, C120, H$2:H$999, H120, M$2:M$999, "&lt;"&amp;M120)+1&lt;=8, 10-(COUNTIFS(C$2:C$999, C120, H$2:H$999, H120, M$2:M$999, "&lt;"&amp;M120)+1)-1, "")))</f>
        <v>0</v>
      </c>
      <c r="Q120" s="3">
        <f>IF(AND(N120&lt;&gt;"", O120&lt;&gt;""), 1, "")</f>
        <v>0</v>
      </c>
    </row>
    <row r="121" spans="1:17">
      <c r="A121">
        <v>120</v>
      </c>
      <c r="B121" t="s">
        <v>23</v>
      </c>
      <c r="C121" t="s">
        <v>47</v>
      </c>
      <c r="D121" t="s">
        <v>66</v>
      </c>
      <c r="E121" t="s">
        <v>72</v>
      </c>
      <c r="F121" t="s">
        <v>191</v>
      </c>
      <c r="G121" t="s">
        <v>402</v>
      </c>
      <c r="H121" t="s">
        <v>405</v>
      </c>
      <c r="I121" t="s">
        <v>518</v>
      </c>
      <c r="M121" s="1">
        <f>AVERAGE(J121:L121)</f>
        <v>0</v>
      </c>
      <c r="N121" s="1">
        <f>M121</f>
        <v>0</v>
      </c>
      <c r="P121" s="3">
        <f>IF(OR(H121="O", NOT(ISNUMBER(M121))), "", IF(COUNTIFS(C$2:C$999, C121, H$2:H$999, H121, M$2:M$999, "&lt;"&amp;M121)+1=1, 9, IF(COUNTIFS(C$2:C$999, C121, H$2:H$999, H121, M$2:M$999, "&lt;"&amp;M121)+1&lt;=8, 10-(COUNTIFS(C$2:C$999, C121, H$2:H$999, H121, M$2:M$999, "&lt;"&amp;M121)+1)-1, "")))</f>
        <v>0</v>
      </c>
      <c r="Q121" s="3">
        <f>IF(AND(N121&lt;&gt;"", O121&lt;&gt;""), 1, "")</f>
        <v>0</v>
      </c>
    </row>
    <row r="122" spans="1:17">
      <c r="A122">
        <v>121</v>
      </c>
      <c r="B122" t="s">
        <v>23</v>
      </c>
      <c r="C122" t="s">
        <v>47</v>
      </c>
      <c r="D122" t="s">
        <v>66</v>
      </c>
      <c r="E122" t="s">
        <v>73</v>
      </c>
      <c r="F122" t="s">
        <v>192</v>
      </c>
      <c r="G122" t="s">
        <v>392</v>
      </c>
      <c r="H122" t="s">
        <v>406</v>
      </c>
      <c r="I122" t="s">
        <v>519</v>
      </c>
      <c r="M122" s="1">
        <f>AVERAGE(J122:L122)</f>
        <v>0</v>
      </c>
      <c r="N122" s="1">
        <f>M122</f>
        <v>0</v>
      </c>
      <c r="P122" s="3">
        <f>IF(OR(H122="O", NOT(ISNUMBER(M122))), "", IF(COUNTIFS(C$2:C$999, C122, H$2:H$999, H122, M$2:M$999, "&lt;"&amp;M122)+1=1, 9, IF(COUNTIFS(C$2:C$999, C122, H$2:H$999, H122, M$2:M$999, "&lt;"&amp;M122)+1&lt;=8, 10-(COUNTIFS(C$2:C$999, C122, H$2:H$999, H122, M$2:M$999, "&lt;"&amp;M122)+1)-1, "")))</f>
        <v>0</v>
      </c>
      <c r="Q122" s="3">
        <f>IF(AND(N122&lt;&gt;"", O122&lt;&gt;""), 1, "")</f>
        <v>0</v>
      </c>
    </row>
    <row r="123" spans="1:17">
      <c r="A123">
        <v>122</v>
      </c>
      <c r="B123" t="s">
        <v>23</v>
      </c>
      <c r="C123" t="s">
        <v>47</v>
      </c>
      <c r="D123" t="s">
        <v>66</v>
      </c>
      <c r="E123" t="s">
        <v>74</v>
      </c>
      <c r="F123" t="s">
        <v>167</v>
      </c>
      <c r="G123" t="s">
        <v>394</v>
      </c>
      <c r="H123" t="s">
        <v>406</v>
      </c>
      <c r="I123" t="s">
        <v>494</v>
      </c>
      <c r="M123" s="1">
        <f>AVERAGE(J123:L123)</f>
        <v>0</v>
      </c>
      <c r="N123" s="1">
        <f>M123</f>
        <v>0</v>
      </c>
      <c r="P123" s="3">
        <f>IF(OR(H123="O", NOT(ISNUMBER(M123))), "", IF(COUNTIFS(C$2:C$999, C123, H$2:H$999, H123, M$2:M$999, "&lt;"&amp;M123)+1=1, 9, IF(COUNTIFS(C$2:C$999, C123, H$2:H$999, H123, M$2:M$999, "&lt;"&amp;M123)+1&lt;=8, 10-(COUNTIFS(C$2:C$999, C123, H$2:H$999, H123, M$2:M$999, "&lt;"&amp;M123)+1)-1, "")))</f>
        <v>0</v>
      </c>
      <c r="Q123" s="3">
        <f>IF(AND(N123&lt;&gt;"", O123&lt;&gt;""), 1, "")</f>
        <v>0</v>
      </c>
    </row>
    <row r="124" spans="1:17">
      <c r="A124">
        <v>123</v>
      </c>
      <c r="B124" t="s">
        <v>23</v>
      </c>
      <c r="C124" t="s">
        <v>47</v>
      </c>
      <c r="D124" t="s">
        <v>66</v>
      </c>
      <c r="E124" t="s">
        <v>75</v>
      </c>
      <c r="F124" t="s">
        <v>94</v>
      </c>
      <c r="G124" t="s">
        <v>401</v>
      </c>
      <c r="H124" t="s">
        <v>406</v>
      </c>
      <c r="I124" t="s">
        <v>421</v>
      </c>
      <c r="M124" s="1">
        <f>AVERAGE(J124:L124)</f>
        <v>0</v>
      </c>
      <c r="N124" s="1">
        <f>M124</f>
        <v>0</v>
      </c>
      <c r="P124" s="3">
        <f>IF(OR(H124="O", NOT(ISNUMBER(M124))), "", IF(COUNTIFS(C$2:C$999, C124, H$2:H$999, H124, M$2:M$999, "&lt;"&amp;M124)+1=1, 9, IF(COUNTIFS(C$2:C$999, C124, H$2:H$999, H124, M$2:M$999, "&lt;"&amp;M124)+1&lt;=8, 10-(COUNTIFS(C$2:C$999, C124, H$2:H$999, H124, M$2:M$999, "&lt;"&amp;M124)+1)-1, "")))</f>
        <v>0</v>
      </c>
      <c r="Q124" s="3">
        <f>IF(AND(N124&lt;&gt;"", O124&lt;&gt;""), 1, "")</f>
        <v>0</v>
      </c>
    </row>
    <row r="125" spans="1:17">
      <c r="A125">
        <v>124</v>
      </c>
      <c r="B125" t="s">
        <v>23</v>
      </c>
      <c r="C125" t="s">
        <v>47</v>
      </c>
      <c r="D125" t="s">
        <v>66</v>
      </c>
      <c r="E125" t="s">
        <v>76</v>
      </c>
      <c r="F125" t="s">
        <v>164</v>
      </c>
      <c r="G125" t="s">
        <v>402</v>
      </c>
      <c r="H125" t="s">
        <v>406</v>
      </c>
      <c r="I125" t="s">
        <v>491</v>
      </c>
      <c r="M125" s="1">
        <f>AVERAGE(J125:L125)</f>
        <v>0</v>
      </c>
      <c r="N125" s="1">
        <f>M125</f>
        <v>0</v>
      </c>
      <c r="P125" s="3">
        <f>IF(OR(H125="O", NOT(ISNUMBER(M125))), "", IF(COUNTIFS(C$2:C$999, C125, H$2:H$999, H125, M$2:M$999, "&lt;"&amp;M125)+1=1, 9, IF(COUNTIFS(C$2:C$999, C125, H$2:H$999, H125, M$2:M$999, "&lt;"&amp;M125)+1&lt;=8, 10-(COUNTIFS(C$2:C$999, C125, H$2:H$999, H125, M$2:M$999, "&lt;"&amp;M125)+1)-1, "")))</f>
        <v>0</v>
      </c>
      <c r="Q125" s="3">
        <f>IF(AND(N125&lt;&gt;"", O125&lt;&gt;""), 1, "")</f>
        <v>0</v>
      </c>
    </row>
    <row r="126" spans="1:17">
      <c r="A126">
        <v>125</v>
      </c>
      <c r="B126" t="s">
        <v>23</v>
      </c>
      <c r="C126" t="s">
        <v>47</v>
      </c>
      <c r="D126" t="s">
        <v>66</v>
      </c>
      <c r="E126" t="s">
        <v>77</v>
      </c>
      <c r="F126" t="s">
        <v>193</v>
      </c>
      <c r="G126" t="s">
        <v>399</v>
      </c>
      <c r="H126" t="s">
        <v>406</v>
      </c>
      <c r="I126" t="s">
        <v>520</v>
      </c>
      <c r="M126" s="1">
        <f>AVERAGE(J126:L126)</f>
        <v>0</v>
      </c>
      <c r="N126" s="1">
        <f>M126</f>
        <v>0</v>
      </c>
      <c r="P126" s="3">
        <f>IF(OR(H126="O", NOT(ISNUMBER(M126))), "", IF(COUNTIFS(C$2:C$999, C126, H$2:H$999, H126, M$2:M$999, "&lt;"&amp;M126)+1=1, 9, IF(COUNTIFS(C$2:C$999, C126, H$2:H$999, H126, M$2:M$999, "&lt;"&amp;M126)+1&lt;=8, 10-(COUNTIFS(C$2:C$999, C126, H$2:H$999, H126, M$2:M$999, "&lt;"&amp;M126)+1)-1, "")))</f>
        <v>0</v>
      </c>
      <c r="Q126" s="3">
        <f>IF(AND(N126&lt;&gt;"", O126&lt;&gt;""), 1, "")</f>
        <v>0</v>
      </c>
    </row>
    <row r="127" spans="1:17">
      <c r="A127">
        <v>126</v>
      </c>
      <c r="B127" t="s">
        <v>23</v>
      </c>
      <c r="C127" t="s">
        <v>47</v>
      </c>
      <c r="D127" t="s">
        <v>66</v>
      </c>
      <c r="E127" t="s">
        <v>78</v>
      </c>
      <c r="F127" t="s">
        <v>194</v>
      </c>
      <c r="G127" t="s">
        <v>400</v>
      </c>
      <c r="H127" t="s">
        <v>406</v>
      </c>
      <c r="I127" t="s">
        <v>521</v>
      </c>
      <c r="M127" s="1">
        <f>AVERAGE(J127:L127)</f>
        <v>0</v>
      </c>
      <c r="N127" s="1">
        <f>M127</f>
        <v>0</v>
      </c>
      <c r="P127" s="3">
        <f>IF(OR(H127="O", NOT(ISNUMBER(M127))), "", IF(COUNTIFS(C$2:C$999, C127, H$2:H$999, H127, M$2:M$999, "&lt;"&amp;M127)+1=1, 9, IF(COUNTIFS(C$2:C$999, C127, H$2:H$999, H127, M$2:M$999, "&lt;"&amp;M127)+1&lt;=8, 10-(COUNTIFS(C$2:C$999, C127, H$2:H$999, H127, M$2:M$999, "&lt;"&amp;M127)+1)-1, "")))</f>
        <v>0</v>
      </c>
      <c r="Q127" s="3">
        <f>IF(AND(N127&lt;&gt;"", O127&lt;&gt;""), 1, "")</f>
        <v>0</v>
      </c>
    </row>
    <row r="128" spans="1:17">
      <c r="A128">
        <v>127</v>
      </c>
      <c r="B128" t="s">
        <v>23</v>
      </c>
      <c r="C128" t="s">
        <v>47</v>
      </c>
      <c r="D128" t="s">
        <v>66</v>
      </c>
      <c r="E128" t="s">
        <v>80</v>
      </c>
      <c r="F128" t="s">
        <v>161</v>
      </c>
      <c r="G128" t="s">
        <v>398</v>
      </c>
      <c r="H128" t="s">
        <v>406</v>
      </c>
      <c r="I128" t="s">
        <v>488</v>
      </c>
      <c r="M128" s="1">
        <f>AVERAGE(J128:L128)</f>
        <v>0</v>
      </c>
      <c r="N128" s="1">
        <f>M128</f>
        <v>0</v>
      </c>
      <c r="P128" s="3">
        <f>IF(OR(H128="O", NOT(ISNUMBER(M128))), "", IF(COUNTIFS(C$2:C$999, C128, H$2:H$999, H128, M$2:M$999, "&lt;"&amp;M128)+1=1, 9, IF(COUNTIFS(C$2:C$999, C128, H$2:H$999, H128, M$2:M$999, "&lt;"&amp;M128)+1&lt;=8, 10-(COUNTIFS(C$2:C$999, C128, H$2:H$999, H128, M$2:M$999, "&lt;"&amp;M128)+1)-1, "")))</f>
        <v>0</v>
      </c>
      <c r="Q128" s="3">
        <f>IF(AND(N128&lt;&gt;"", O128&lt;&gt;""), 1, "")</f>
        <v>0</v>
      </c>
    </row>
    <row r="129" spans="1:17">
      <c r="A129">
        <v>128</v>
      </c>
      <c r="B129" t="s">
        <v>24</v>
      </c>
      <c r="C129" t="s">
        <v>48</v>
      </c>
      <c r="D129" t="s">
        <v>65</v>
      </c>
      <c r="E129" t="s">
        <v>71</v>
      </c>
      <c r="F129" t="s">
        <v>195</v>
      </c>
      <c r="G129" t="s">
        <v>390</v>
      </c>
      <c r="H129" t="s">
        <v>404</v>
      </c>
      <c r="I129" t="s">
        <v>522</v>
      </c>
      <c r="M129" s="1">
        <f>AVERAGE(J129:L129)</f>
        <v>0</v>
      </c>
      <c r="N129" s="1">
        <f>M129</f>
        <v>0</v>
      </c>
      <c r="P129" s="3">
        <f>IF(OR(H129="O", NOT(ISNUMBER(M129))), "", IF(COUNTIFS(C$2:C$999, C129, H$2:H$999, H129, M$2:M$999, "&lt;"&amp;M129)+1=1, 9, IF(COUNTIFS(C$2:C$999, C129, H$2:H$999, H129, M$2:M$999, "&lt;"&amp;M129)+1&lt;=8, 10-(COUNTIFS(C$2:C$999, C129, H$2:H$999, H129, M$2:M$999, "&lt;"&amp;M129)+1)-1, "")))</f>
        <v>0</v>
      </c>
      <c r="Q129" s="3">
        <f>IF(AND(N129&lt;&gt;"", O129&lt;&gt;""), 1, "")</f>
        <v>0</v>
      </c>
    </row>
    <row r="130" spans="1:17">
      <c r="A130">
        <v>129</v>
      </c>
      <c r="B130" t="s">
        <v>24</v>
      </c>
      <c r="C130" t="s">
        <v>48</v>
      </c>
      <c r="D130" t="s">
        <v>65</v>
      </c>
      <c r="E130" t="s">
        <v>72</v>
      </c>
      <c r="F130" t="s">
        <v>196</v>
      </c>
      <c r="G130" t="s">
        <v>391</v>
      </c>
      <c r="H130" t="s">
        <v>404</v>
      </c>
      <c r="I130" t="s">
        <v>523</v>
      </c>
      <c r="M130" s="1">
        <f>AVERAGE(J130:L130)</f>
        <v>0</v>
      </c>
      <c r="N130" s="1">
        <f>M130</f>
        <v>0</v>
      </c>
      <c r="P130" s="3">
        <f>IF(OR(H130="O", NOT(ISNUMBER(M130))), "", IF(COUNTIFS(C$2:C$999, C130, H$2:H$999, H130, M$2:M$999, "&lt;"&amp;M130)+1=1, 9, IF(COUNTIFS(C$2:C$999, C130, H$2:H$999, H130, M$2:M$999, "&lt;"&amp;M130)+1&lt;=8, 10-(COUNTIFS(C$2:C$999, C130, H$2:H$999, H130, M$2:M$999, "&lt;"&amp;M130)+1)-1, "")))</f>
        <v>0</v>
      </c>
      <c r="Q130" s="3">
        <f>IF(AND(N130&lt;&gt;"", O130&lt;&gt;""), 1, "")</f>
        <v>0</v>
      </c>
    </row>
    <row r="131" spans="1:17">
      <c r="A131">
        <v>130</v>
      </c>
      <c r="B131" t="s">
        <v>24</v>
      </c>
      <c r="C131" t="s">
        <v>48</v>
      </c>
      <c r="D131" t="s">
        <v>65</v>
      </c>
      <c r="E131" t="s">
        <v>73</v>
      </c>
      <c r="F131" t="s">
        <v>197</v>
      </c>
      <c r="G131" t="s">
        <v>393</v>
      </c>
      <c r="H131" t="s">
        <v>404</v>
      </c>
      <c r="I131" t="s">
        <v>524</v>
      </c>
      <c r="M131" s="1">
        <f>AVERAGE(J131:L131)</f>
        <v>0</v>
      </c>
      <c r="N131" s="1">
        <f>M131</f>
        <v>0</v>
      </c>
      <c r="P131" s="3">
        <f>IF(OR(H131="O", NOT(ISNUMBER(M131))), "", IF(COUNTIFS(C$2:C$999, C131, H$2:H$999, H131, M$2:M$999, "&lt;"&amp;M131)+1=1, 9, IF(COUNTIFS(C$2:C$999, C131, H$2:H$999, H131, M$2:M$999, "&lt;"&amp;M131)+1&lt;=8, 10-(COUNTIFS(C$2:C$999, C131, H$2:H$999, H131, M$2:M$999, "&lt;"&amp;M131)+1)-1, "")))</f>
        <v>0</v>
      </c>
      <c r="Q131" s="3">
        <f>IF(AND(N131&lt;&gt;"", O131&lt;&gt;""), 1, "")</f>
        <v>0</v>
      </c>
    </row>
    <row r="132" spans="1:17">
      <c r="A132">
        <v>131</v>
      </c>
      <c r="B132" t="s">
        <v>24</v>
      </c>
      <c r="C132" t="s">
        <v>48</v>
      </c>
      <c r="D132" t="s">
        <v>65</v>
      </c>
      <c r="E132" t="s">
        <v>74</v>
      </c>
      <c r="F132" t="s">
        <v>198</v>
      </c>
      <c r="G132" t="s">
        <v>392</v>
      </c>
      <c r="H132" t="s">
        <v>404</v>
      </c>
      <c r="I132" t="s">
        <v>525</v>
      </c>
      <c r="M132" s="1">
        <f>AVERAGE(J132:L132)</f>
        <v>0</v>
      </c>
      <c r="N132" s="1">
        <f>M132</f>
        <v>0</v>
      </c>
      <c r="P132" s="3">
        <f>IF(OR(H132="O", NOT(ISNUMBER(M132))), "", IF(COUNTIFS(C$2:C$999, C132, H$2:H$999, H132, M$2:M$999, "&lt;"&amp;M132)+1=1, 9, IF(COUNTIFS(C$2:C$999, C132, H$2:H$999, H132, M$2:M$999, "&lt;"&amp;M132)+1&lt;=8, 10-(COUNTIFS(C$2:C$999, C132, H$2:H$999, H132, M$2:M$999, "&lt;"&amp;M132)+1)-1, "")))</f>
        <v>0</v>
      </c>
      <c r="Q132" s="3">
        <f>IF(AND(N132&lt;&gt;"", O132&lt;&gt;""), 1, "")</f>
        <v>0</v>
      </c>
    </row>
    <row r="133" spans="1:17">
      <c r="A133">
        <v>132</v>
      </c>
      <c r="B133" t="s">
        <v>24</v>
      </c>
      <c r="C133" t="s">
        <v>48</v>
      </c>
      <c r="D133" t="s">
        <v>65</v>
      </c>
      <c r="E133" t="s">
        <v>75</v>
      </c>
      <c r="F133" t="s">
        <v>199</v>
      </c>
      <c r="G133" t="s">
        <v>394</v>
      </c>
      <c r="H133" t="s">
        <v>404</v>
      </c>
      <c r="I133" t="s">
        <v>526</v>
      </c>
      <c r="M133" s="1">
        <f>AVERAGE(J133:L133)</f>
        <v>0</v>
      </c>
      <c r="N133" s="1">
        <f>M133</f>
        <v>0</v>
      </c>
      <c r="P133" s="3">
        <f>IF(OR(H133="O", NOT(ISNUMBER(M133))), "", IF(COUNTIFS(C$2:C$999, C133, H$2:H$999, H133, M$2:M$999, "&lt;"&amp;M133)+1=1, 9, IF(COUNTIFS(C$2:C$999, C133, H$2:H$999, H133, M$2:M$999, "&lt;"&amp;M133)+1&lt;=8, 10-(COUNTIFS(C$2:C$999, C133, H$2:H$999, H133, M$2:M$999, "&lt;"&amp;M133)+1)-1, "")))</f>
        <v>0</v>
      </c>
      <c r="Q133" s="3">
        <f>IF(AND(N133&lt;&gt;"", O133&lt;&gt;""), 1, "")</f>
        <v>0</v>
      </c>
    </row>
    <row r="134" spans="1:17">
      <c r="A134">
        <v>133</v>
      </c>
      <c r="B134" t="s">
        <v>24</v>
      </c>
      <c r="C134" t="s">
        <v>48</v>
      </c>
      <c r="D134" t="s">
        <v>65</v>
      </c>
      <c r="E134" t="s">
        <v>76</v>
      </c>
      <c r="F134" t="s">
        <v>200</v>
      </c>
      <c r="G134" t="s">
        <v>395</v>
      </c>
      <c r="H134" t="s">
        <v>404</v>
      </c>
      <c r="I134" t="s">
        <v>527</v>
      </c>
      <c r="M134" s="1">
        <f>AVERAGE(J134:L134)</f>
        <v>0</v>
      </c>
      <c r="N134" s="1">
        <f>M134</f>
        <v>0</v>
      </c>
      <c r="P134" s="3">
        <f>IF(OR(H134="O", NOT(ISNUMBER(M134))), "", IF(COUNTIFS(C$2:C$999, C134, H$2:H$999, H134, M$2:M$999, "&lt;"&amp;M134)+1=1, 9, IF(COUNTIFS(C$2:C$999, C134, H$2:H$999, H134, M$2:M$999, "&lt;"&amp;M134)+1&lt;=8, 10-(COUNTIFS(C$2:C$999, C134, H$2:H$999, H134, M$2:M$999, "&lt;"&amp;M134)+1)-1, "")))</f>
        <v>0</v>
      </c>
      <c r="Q134" s="3">
        <f>IF(AND(N134&lt;&gt;"", O134&lt;&gt;""), 1, "")</f>
        <v>0</v>
      </c>
    </row>
    <row r="135" spans="1:17">
      <c r="A135">
        <v>134</v>
      </c>
      <c r="B135" t="s">
        <v>24</v>
      </c>
      <c r="C135" t="s">
        <v>48</v>
      </c>
      <c r="D135" t="s">
        <v>65</v>
      </c>
      <c r="E135" t="s">
        <v>77</v>
      </c>
      <c r="F135" t="s">
        <v>201</v>
      </c>
      <c r="G135" t="s">
        <v>396</v>
      </c>
      <c r="H135" t="s">
        <v>404</v>
      </c>
      <c r="I135" t="s">
        <v>528</v>
      </c>
      <c r="M135" s="1">
        <f>AVERAGE(J135:L135)</f>
        <v>0</v>
      </c>
      <c r="N135" s="1">
        <f>M135</f>
        <v>0</v>
      </c>
      <c r="P135" s="3">
        <f>IF(OR(H135="O", NOT(ISNUMBER(M135))), "", IF(COUNTIFS(C$2:C$999, C135, H$2:H$999, H135, M$2:M$999, "&lt;"&amp;M135)+1=1, 9, IF(COUNTIFS(C$2:C$999, C135, H$2:H$999, H135, M$2:M$999, "&lt;"&amp;M135)+1&lt;=8, 10-(COUNTIFS(C$2:C$999, C135, H$2:H$999, H135, M$2:M$999, "&lt;"&amp;M135)+1)-1, "")))</f>
        <v>0</v>
      </c>
      <c r="Q135" s="3">
        <f>IF(AND(N135&lt;&gt;"", O135&lt;&gt;""), 1, "")</f>
        <v>0</v>
      </c>
    </row>
    <row r="136" spans="1:17">
      <c r="A136">
        <v>135</v>
      </c>
      <c r="B136" t="s">
        <v>24</v>
      </c>
      <c r="C136" t="s">
        <v>48</v>
      </c>
      <c r="D136" t="s">
        <v>65</v>
      </c>
      <c r="E136" t="s">
        <v>78</v>
      </c>
      <c r="F136" t="s">
        <v>103</v>
      </c>
      <c r="G136" t="s">
        <v>397</v>
      </c>
      <c r="H136" t="s">
        <v>404</v>
      </c>
      <c r="I136" t="s">
        <v>430</v>
      </c>
      <c r="M136" s="1">
        <f>AVERAGE(J136:L136)</f>
        <v>0</v>
      </c>
      <c r="N136" s="1">
        <f>M136</f>
        <v>0</v>
      </c>
      <c r="P136" s="3">
        <f>IF(OR(H136="O", NOT(ISNUMBER(M136))), "", IF(COUNTIFS(C$2:C$999, C136, H$2:H$999, H136, M$2:M$999, "&lt;"&amp;M136)+1=1, 9, IF(COUNTIFS(C$2:C$999, C136, H$2:H$999, H136, M$2:M$999, "&lt;"&amp;M136)+1&lt;=8, 10-(COUNTIFS(C$2:C$999, C136, H$2:H$999, H136, M$2:M$999, "&lt;"&amp;M136)+1)-1, "")))</f>
        <v>0</v>
      </c>
      <c r="Q136" s="3">
        <f>IF(AND(N136&lt;&gt;"", O136&lt;&gt;""), 1, "")</f>
        <v>0</v>
      </c>
    </row>
    <row r="137" spans="1:17">
      <c r="A137">
        <v>136</v>
      </c>
      <c r="B137" t="s">
        <v>24</v>
      </c>
      <c r="C137" t="s">
        <v>48</v>
      </c>
      <c r="D137" t="s">
        <v>66</v>
      </c>
      <c r="E137" t="s">
        <v>71</v>
      </c>
      <c r="F137" t="s">
        <v>202</v>
      </c>
      <c r="G137" t="s">
        <v>400</v>
      </c>
      <c r="H137" t="s">
        <v>406</v>
      </c>
      <c r="I137" t="s">
        <v>529</v>
      </c>
      <c r="M137" s="1">
        <f>AVERAGE(J137:L137)</f>
        <v>0</v>
      </c>
      <c r="N137" s="1">
        <f>M137</f>
        <v>0</v>
      </c>
      <c r="P137" s="3">
        <f>IF(OR(H137="O", NOT(ISNUMBER(M137))), "", IF(COUNTIFS(C$2:C$999, C137, H$2:H$999, H137, M$2:M$999, "&lt;"&amp;M137)+1=1, 9, IF(COUNTIFS(C$2:C$999, C137, H$2:H$999, H137, M$2:M$999, "&lt;"&amp;M137)+1&lt;=8, 10-(COUNTIFS(C$2:C$999, C137, H$2:H$999, H137, M$2:M$999, "&lt;"&amp;M137)+1)-1, "")))</f>
        <v>0</v>
      </c>
      <c r="Q137" s="3">
        <f>IF(AND(N137&lt;&gt;"", O137&lt;&gt;""), 1, "")</f>
        <v>0</v>
      </c>
    </row>
    <row r="138" spans="1:17">
      <c r="A138">
        <v>137</v>
      </c>
      <c r="B138" t="s">
        <v>24</v>
      </c>
      <c r="C138" t="s">
        <v>48</v>
      </c>
      <c r="D138" t="s">
        <v>66</v>
      </c>
      <c r="E138" t="s">
        <v>72</v>
      </c>
      <c r="F138" t="s">
        <v>203</v>
      </c>
      <c r="G138" t="s">
        <v>391</v>
      </c>
      <c r="H138" t="s">
        <v>406</v>
      </c>
      <c r="I138" t="s">
        <v>530</v>
      </c>
      <c r="M138" s="1">
        <f>AVERAGE(J138:L138)</f>
        <v>0</v>
      </c>
      <c r="N138" s="1">
        <f>M138</f>
        <v>0</v>
      </c>
      <c r="P138" s="3">
        <f>IF(OR(H138="O", NOT(ISNUMBER(M138))), "", IF(COUNTIFS(C$2:C$999, C138, H$2:H$999, H138, M$2:M$999, "&lt;"&amp;M138)+1=1, 9, IF(COUNTIFS(C$2:C$999, C138, H$2:H$999, H138, M$2:M$999, "&lt;"&amp;M138)+1&lt;=8, 10-(COUNTIFS(C$2:C$999, C138, H$2:H$999, H138, M$2:M$999, "&lt;"&amp;M138)+1)-1, "")))</f>
        <v>0</v>
      </c>
      <c r="Q138" s="3">
        <f>IF(AND(N138&lt;&gt;"", O138&lt;&gt;""), 1, "")</f>
        <v>0</v>
      </c>
    </row>
    <row r="139" spans="1:17">
      <c r="A139">
        <v>138</v>
      </c>
      <c r="B139" t="s">
        <v>24</v>
      </c>
      <c r="C139" t="s">
        <v>48</v>
      </c>
      <c r="D139" t="s">
        <v>66</v>
      </c>
      <c r="E139" t="s">
        <v>73</v>
      </c>
      <c r="F139" t="s">
        <v>204</v>
      </c>
      <c r="G139" t="s">
        <v>392</v>
      </c>
      <c r="H139" t="s">
        <v>406</v>
      </c>
      <c r="I139" t="s">
        <v>531</v>
      </c>
      <c r="M139" s="1">
        <f>AVERAGE(J139:L139)</f>
        <v>0</v>
      </c>
      <c r="N139" s="1">
        <f>M139</f>
        <v>0</v>
      </c>
      <c r="P139" s="3">
        <f>IF(OR(H139="O", NOT(ISNUMBER(M139))), "", IF(COUNTIFS(C$2:C$999, C139, H$2:H$999, H139, M$2:M$999, "&lt;"&amp;M139)+1=1, 9, IF(COUNTIFS(C$2:C$999, C139, H$2:H$999, H139, M$2:M$999, "&lt;"&amp;M139)+1&lt;=8, 10-(COUNTIFS(C$2:C$999, C139, H$2:H$999, H139, M$2:M$999, "&lt;"&amp;M139)+1)-1, "")))</f>
        <v>0</v>
      </c>
      <c r="Q139" s="3">
        <f>IF(AND(N139&lt;&gt;"", O139&lt;&gt;""), 1, "")</f>
        <v>0</v>
      </c>
    </row>
    <row r="140" spans="1:17">
      <c r="A140">
        <v>139</v>
      </c>
      <c r="B140" t="s">
        <v>24</v>
      </c>
      <c r="C140" t="s">
        <v>48</v>
      </c>
      <c r="D140" t="s">
        <v>66</v>
      </c>
      <c r="E140" t="s">
        <v>74</v>
      </c>
      <c r="F140" t="s">
        <v>110</v>
      </c>
      <c r="G140" t="s">
        <v>400</v>
      </c>
      <c r="H140" t="s">
        <v>405</v>
      </c>
      <c r="I140" t="s">
        <v>437</v>
      </c>
      <c r="M140" s="1">
        <f>AVERAGE(J140:L140)</f>
        <v>0</v>
      </c>
      <c r="N140" s="1">
        <f>M140</f>
        <v>0</v>
      </c>
      <c r="P140" s="3">
        <f>IF(OR(H140="O", NOT(ISNUMBER(M140))), "", IF(COUNTIFS(C$2:C$999, C140, H$2:H$999, H140, M$2:M$999, "&lt;"&amp;M140)+1=1, 9, IF(COUNTIFS(C$2:C$999, C140, H$2:H$999, H140, M$2:M$999, "&lt;"&amp;M140)+1&lt;=8, 10-(COUNTIFS(C$2:C$999, C140, H$2:H$999, H140, M$2:M$999, "&lt;"&amp;M140)+1)-1, "")))</f>
        <v>0</v>
      </c>
      <c r="Q140" s="3">
        <f>IF(AND(N140&lt;&gt;"", O140&lt;&gt;""), 1, "")</f>
        <v>0</v>
      </c>
    </row>
    <row r="141" spans="1:17">
      <c r="A141">
        <v>140</v>
      </c>
      <c r="B141" t="s">
        <v>24</v>
      </c>
      <c r="C141" t="s">
        <v>48</v>
      </c>
      <c r="D141" t="s">
        <v>66</v>
      </c>
      <c r="E141" t="s">
        <v>75</v>
      </c>
      <c r="F141" t="s">
        <v>109</v>
      </c>
      <c r="G141" t="s">
        <v>402</v>
      </c>
      <c r="H141" t="s">
        <v>405</v>
      </c>
      <c r="I141" t="s">
        <v>436</v>
      </c>
      <c r="M141" s="1">
        <f>AVERAGE(J141:L141)</f>
        <v>0</v>
      </c>
      <c r="N141" s="1">
        <f>M141</f>
        <v>0</v>
      </c>
      <c r="P141" s="3">
        <f>IF(OR(H141="O", NOT(ISNUMBER(M141))), "", IF(COUNTIFS(C$2:C$999, C141, H$2:H$999, H141, M$2:M$999, "&lt;"&amp;M141)+1=1, 9, IF(COUNTIFS(C$2:C$999, C141, H$2:H$999, H141, M$2:M$999, "&lt;"&amp;M141)+1&lt;=8, 10-(COUNTIFS(C$2:C$999, C141, H$2:H$999, H141, M$2:M$999, "&lt;"&amp;M141)+1)-1, "")))</f>
        <v>0</v>
      </c>
      <c r="Q141" s="3">
        <f>IF(AND(N141&lt;&gt;"", O141&lt;&gt;""), 1, "")</f>
        <v>0</v>
      </c>
    </row>
    <row r="142" spans="1:17">
      <c r="A142">
        <v>141</v>
      </c>
      <c r="B142" t="s">
        <v>24</v>
      </c>
      <c r="C142" t="s">
        <v>48</v>
      </c>
      <c r="D142" t="s">
        <v>66</v>
      </c>
      <c r="E142" t="s">
        <v>76</v>
      </c>
      <c r="F142" t="s">
        <v>205</v>
      </c>
      <c r="G142" t="s">
        <v>398</v>
      </c>
      <c r="H142" t="s">
        <v>406</v>
      </c>
      <c r="I142" t="s">
        <v>532</v>
      </c>
      <c r="M142" s="1">
        <f>AVERAGE(J142:L142)</f>
        <v>0</v>
      </c>
      <c r="N142" s="1">
        <f>M142</f>
        <v>0</v>
      </c>
      <c r="P142" s="3">
        <f>IF(OR(H142="O", NOT(ISNUMBER(M142))), "", IF(COUNTIFS(C$2:C$999, C142, H$2:H$999, H142, M$2:M$999, "&lt;"&amp;M142)+1=1, 9, IF(COUNTIFS(C$2:C$999, C142, H$2:H$999, H142, M$2:M$999, "&lt;"&amp;M142)+1&lt;=8, 10-(COUNTIFS(C$2:C$999, C142, H$2:H$999, H142, M$2:M$999, "&lt;"&amp;M142)+1)-1, "")))</f>
        <v>0</v>
      </c>
      <c r="Q142" s="3">
        <f>IF(AND(N142&lt;&gt;"", O142&lt;&gt;""), 1, "")</f>
        <v>0</v>
      </c>
    </row>
    <row r="143" spans="1:17">
      <c r="A143">
        <v>142</v>
      </c>
      <c r="B143" t="s">
        <v>24</v>
      </c>
      <c r="C143" t="s">
        <v>48</v>
      </c>
      <c r="D143" t="s">
        <v>66</v>
      </c>
      <c r="E143" t="s">
        <v>77</v>
      </c>
      <c r="F143" t="s">
        <v>206</v>
      </c>
      <c r="G143" t="s">
        <v>393</v>
      </c>
      <c r="H143" t="s">
        <v>405</v>
      </c>
      <c r="I143" t="s">
        <v>533</v>
      </c>
      <c r="M143" s="1">
        <f>AVERAGE(J143:L143)</f>
        <v>0</v>
      </c>
      <c r="N143" s="1">
        <f>M143</f>
        <v>0</v>
      </c>
      <c r="P143" s="3">
        <f>IF(OR(H143="O", NOT(ISNUMBER(M143))), "", IF(COUNTIFS(C$2:C$999, C143, H$2:H$999, H143, M$2:M$999, "&lt;"&amp;M143)+1=1, 9, IF(COUNTIFS(C$2:C$999, C143, H$2:H$999, H143, M$2:M$999, "&lt;"&amp;M143)+1&lt;=8, 10-(COUNTIFS(C$2:C$999, C143, H$2:H$999, H143, M$2:M$999, "&lt;"&amp;M143)+1)-1, "")))</f>
        <v>0</v>
      </c>
      <c r="Q143" s="3">
        <f>IF(AND(N143&lt;&gt;"", O143&lt;&gt;""), 1, "")</f>
        <v>0</v>
      </c>
    </row>
    <row r="144" spans="1:17">
      <c r="A144">
        <v>143</v>
      </c>
      <c r="B144" t="s">
        <v>24</v>
      </c>
      <c r="C144" t="s">
        <v>48</v>
      </c>
      <c r="D144" t="s">
        <v>67</v>
      </c>
      <c r="E144" t="s">
        <v>71</v>
      </c>
      <c r="F144" t="s">
        <v>177</v>
      </c>
      <c r="G144" t="s">
        <v>401</v>
      </c>
      <c r="H144" t="s">
        <v>406</v>
      </c>
      <c r="I144" t="s">
        <v>504</v>
      </c>
      <c r="M144" s="1">
        <f>AVERAGE(J144:L144)</f>
        <v>0</v>
      </c>
      <c r="N144" s="1">
        <f>M144</f>
        <v>0</v>
      </c>
      <c r="P144" s="3">
        <f>IF(OR(H144="O", NOT(ISNUMBER(M144))), "", IF(COUNTIFS(C$2:C$999, C144, H$2:H$999, H144, M$2:M$999, "&lt;"&amp;M144)+1=1, 9, IF(COUNTIFS(C$2:C$999, C144, H$2:H$999, H144, M$2:M$999, "&lt;"&amp;M144)+1&lt;=8, 10-(COUNTIFS(C$2:C$999, C144, H$2:H$999, H144, M$2:M$999, "&lt;"&amp;M144)+1)-1, "")))</f>
        <v>0</v>
      </c>
      <c r="Q144" s="3">
        <f>IF(AND(N144&lt;&gt;"", O144&lt;&gt;""), 1, "")</f>
        <v>0</v>
      </c>
    </row>
    <row r="145" spans="1:17">
      <c r="A145">
        <v>144</v>
      </c>
      <c r="B145" t="s">
        <v>24</v>
      </c>
      <c r="C145" t="s">
        <v>48</v>
      </c>
      <c r="D145" t="s">
        <v>67</v>
      </c>
      <c r="E145" t="s">
        <v>72</v>
      </c>
      <c r="F145" t="s">
        <v>207</v>
      </c>
      <c r="G145" t="s">
        <v>390</v>
      </c>
      <c r="H145" t="s">
        <v>406</v>
      </c>
      <c r="I145" t="s">
        <v>534</v>
      </c>
      <c r="M145" s="1">
        <f>AVERAGE(J145:L145)</f>
        <v>0</v>
      </c>
      <c r="N145" s="1">
        <f>M145</f>
        <v>0</v>
      </c>
      <c r="P145" s="3">
        <f>IF(OR(H145="O", NOT(ISNUMBER(M145))), "", IF(COUNTIFS(C$2:C$999, C145, H$2:H$999, H145, M$2:M$999, "&lt;"&amp;M145)+1=1, 9, IF(COUNTIFS(C$2:C$999, C145, H$2:H$999, H145, M$2:M$999, "&lt;"&amp;M145)+1&lt;=8, 10-(COUNTIFS(C$2:C$999, C145, H$2:H$999, H145, M$2:M$999, "&lt;"&amp;M145)+1)-1, "")))</f>
        <v>0</v>
      </c>
      <c r="Q145" s="3">
        <f>IF(AND(N145&lt;&gt;"", O145&lt;&gt;""), 1, "")</f>
        <v>0</v>
      </c>
    </row>
    <row r="146" spans="1:17">
      <c r="A146">
        <v>145</v>
      </c>
      <c r="B146" t="s">
        <v>24</v>
      </c>
      <c r="C146" t="s">
        <v>48</v>
      </c>
      <c r="D146" t="s">
        <v>67</v>
      </c>
      <c r="E146" t="s">
        <v>73</v>
      </c>
      <c r="F146" t="s">
        <v>208</v>
      </c>
      <c r="G146" t="s">
        <v>403</v>
      </c>
      <c r="H146" t="s">
        <v>406</v>
      </c>
      <c r="I146" t="s">
        <v>535</v>
      </c>
      <c r="M146" s="1">
        <f>AVERAGE(J146:L146)</f>
        <v>0</v>
      </c>
      <c r="N146" s="1">
        <f>M146</f>
        <v>0</v>
      </c>
      <c r="P146" s="3">
        <f>IF(OR(H146="O", NOT(ISNUMBER(M146))), "", IF(COUNTIFS(C$2:C$999, C146, H$2:H$999, H146, M$2:M$999, "&lt;"&amp;M146)+1=1, 9, IF(COUNTIFS(C$2:C$999, C146, H$2:H$999, H146, M$2:M$999, "&lt;"&amp;M146)+1&lt;=8, 10-(COUNTIFS(C$2:C$999, C146, H$2:H$999, H146, M$2:M$999, "&lt;"&amp;M146)+1)-1, "")))</f>
        <v>0</v>
      </c>
      <c r="Q146" s="3">
        <f>IF(AND(N146&lt;&gt;"", O146&lt;&gt;""), 1, "")</f>
        <v>0</v>
      </c>
    </row>
    <row r="147" spans="1:17">
      <c r="A147">
        <v>146</v>
      </c>
      <c r="B147" t="s">
        <v>24</v>
      </c>
      <c r="C147" t="s">
        <v>48</v>
      </c>
      <c r="D147" t="s">
        <v>67</v>
      </c>
      <c r="E147" t="s">
        <v>74</v>
      </c>
      <c r="F147" t="s">
        <v>209</v>
      </c>
      <c r="G147" t="s">
        <v>394</v>
      </c>
      <c r="H147" t="s">
        <v>406</v>
      </c>
      <c r="I147" t="s">
        <v>536</v>
      </c>
      <c r="M147" s="1">
        <f>AVERAGE(J147:L147)</f>
        <v>0</v>
      </c>
      <c r="N147" s="1">
        <f>M147</f>
        <v>0</v>
      </c>
      <c r="P147" s="3">
        <f>IF(OR(H147="O", NOT(ISNUMBER(M147))), "", IF(COUNTIFS(C$2:C$999, C147, H$2:H$999, H147, M$2:M$999, "&lt;"&amp;M147)+1=1, 9, IF(COUNTIFS(C$2:C$999, C147, H$2:H$999, H147, M$2:M$999, "&lt;"&amp;M147)+1&lt;=8, 10-(COUNTIFS(C$2:C$999, C147, H$2:H$999, H147, M$2:M$999, "&lt;"&amp;M147)+1)-1, "")))</f>
        <v>0</v>
      </c>
      <c r="Q147" s="3">
        <f>IF(AND(N147&lt;&gt;"", O147&lt;&gt;""), 1, "")</f>
        <v>0</v>
      </c>
    </row>
    <row r="148" spans="1:17">
      <c r="A148">
        <v>147</v>
      </c>
      <c r="B148" t="s">
        <v>24</v>
      </c>
      <c r="C148" t="s">
        <v>48</v>
      </c>
      <c r="D148" t="s">
        <v>67</v>
      </c>
      <c r="E148" t="s">
        <v>75</v>
      </c>
      <c r="F148" t="s">
        <v>115</v>
      </c>
      <c r="G148" t="s">
        <v>399</v>
      </c>
      <c r="H148" t="s">
        <v>406</v>
      </c>
      <c r="I148" t="s">
        <v>442</v>
      </c>
      <c r="M148" s="1">
        <f>AVERAGE(J148:L148)</f>
        <v>0</v>
      </c>
      <c r="N148" s="1">
        <f>M148</f>
        <v>0</v>
      </c>
      <c r="P148" s="3">
        <f>IF(OR(H148="O", NOT(ISNUMBER(M148))), "", IF(COUNTIFS(C$2:C$999, C148, H$2:H$999, H148, M$2:M$999, "&lt;"&amp;M148)+1=1, 9, IF(COUNTIFS(C$2:C$999, C148, H$2:H$999, H148, M$2:M$999, "&lt;"&amp;M148)+1&lt;=8, 10-(COUNTIFS(C$2:C$999, C148, H$2:H$999, H148, M$2:M$999, "&lt;"&amp;M148)+1)-1, "")))</f>
        <v>0</v>
      </c>
      <c r="Q148" s="3">
        <f>IF(AND(N148&lt;&gt;"", O148&lt;&gt;""), 1, "")</f>
        <v>0</v>
      </c>
    </row>
    <row r="149" spans="1:17">
      <c r="A149">
        <v>148</v>
      </c>
      <c r="B149" t="s">
        <v>24</v>
      </c>
      <c r="C149" t="s">
        <v>48</v>
      </c>
      <c r="D149" t="s">
        <v>67</v>
      </c>
      <c r="E149" t="s">
        <v>76</v>
      </c>
      <c r="F149" t="s">
        <v>210</v>
      </c>
      <c r="G149" t="s">
        <v>394</v>
      </c>
      <c r="H149" t="s">
        <v>405</v>
      </c>
      <c r="I149" t="s">
        <v>537</v>
      </c>
      <c r="M149" s="1">
        <f>AVERAGE(J149:L149)</f>
        <v>0</v>
      </c>
      <c r="N149" s="1">
        <f>M149</f>
        <v>0</v>
      </c>
      <c r="P149" s="3">
        <f>IF(OR(H149="O", NOT(ISNUMBER(M149))), "", IF(COUNTIFS(C$2:C$999, C149, H$2:H$999, H149, M$2:M$999, "&lt;"&amp;M149)+1=1, 9, IF(COUNTIFS(C$2:C$999, C149, H$2:H$999, H149, M$2:M$999, "&lt;"&amp;M149)+1&lt;=8, 10-(COUNTIFS(C$2:C$999, C149, H$2:H$999, H149, M$2:M$999, "&lt;"&amp;M149)+1)-1, "")))</f>
        <v>0</v>
      </c>
      <c r="Q149" s="3">
        <f>IF(AND(N149&lt;&gt;"", O149&lt;&gt;""), 1, "")</f>
        <v>0</v>
      </c>
    </row>
    <row r="150" spans="1:17">
      <c r="A150">
        <v>149</v>
      </c>
      <c r="B150" t="s">
        <v>24</v>
      </c>
      <c r="C150" t="s">
        <v>48</v>
      </c>
      <c r="D150" t="s">
        <v>67</v>
      </c>
      <c r="E150" t="s">
        <v>77</v>
      </c>
      <c r="F150" t="s">
        <v>108</v>
      </c>
      <c r="G150" t="s">
        <v>402</v>
      </c>
      <c r="H150" t="s">
        <v>406</v>
      </c>
      <c r="I150" t="s">
        <v>435</v>
      </c>
      <c r="M150" s="1">
        <f>AVERAGE(J150:L150)</f>
        <v>0</v>
      </c>
      <c r="N150" s="1">
        <f>M150</f>
        <v>0</v>
      </c>
      <c r="P150" s="3">
        <f>IF(OR(H150="O", NOT(ISNUMBER(M150))), "", IF(COUNTIFS(C$2:C$999, C150, H$2:H$999, H150, M$2:M$999, "&lt;"&amp;M150)+1=1, 9, IF(COUNTIFS(C$2:C$999, C150, H$2:H$999, H150, M$2:M$999, "&lt;"&amp;M150)+1&lt;=8, 10-(COUNTIFS(C$2:C$999, C150, H$2:H$999, H150, M$2:M$999, "&lt;"&amp;M150)+1)-1, "")))</f>
        <v>0</v>
      </c>
      <c r="Q150" s="3">
        <f>IF(AND(N150&lt;&gt;"", O150&lt;&gt;""), 1, "")</f>
        <v>0</v>
      </c>
    </row>
    <row r="151" spans="1:17">
      <c r="A151">
        <v>150</v>
      </c>
      <c r="B151" t="s">
        <v>25</v>
      </c>
      <c r="C151" t="s">
        <v>49</v>
      </c>
      <c r="D151" t="s">
        <v>65</v>
      </c>
      <c r="E151" t="s">
        <v>71</v>
      </c>
      <c r="F151" t="s">
        <v>211</v>
      </c>
      <c r="G151" t="s">
        <v>390</v>
      </c>
      <c r="H151" t="s">
        <v>404</v>
      </c>
      <c r="I151" t="s">
        <v>538</v>
      </c>
      <c r="M151" s="1">
        <f>AVERAGE(J151:L151)</f>
        <v>0</v>
      </c>
      <c r="N151" s="1">
        <f>M151</f>
        <v>0</v>
      </c>
      <c r="P151" s="3">
        <f>IF(OR(H151="O", NOT(ISNUMBER(M151))), "", IF(COUNTIFS(C$2:C$999, C151, H$2:H$999, H151, M$2:M$999, "&lt;"&amp;M151)+1=1, 9, IF(COUNTIFS(C$2:C$999, C151, H$2:H$999, H151, M$2:M$999, "&lt;"&amp;M151)+1&lt;=8, 10-(COUNTIFS(C$2:C$999, C151, H$2:H$999, H151, M$2:M$999, "&lt;"&amp;M151)+1)-1, "")))</f>
        <v>0</v>
      </c>
      <c r="Q151" s="3">
        <f>IF(AND(N151&lt;&gt;"", O151&lt;&gt;""), 1, "")</f>
        <v>0</v>
      </c>
    </row>
    <row r="152" spans="1:17">
      <c r="A152">
        <v>151</v>
      </c>
      <c r="B152" t="s">
        <v>25</v>
      </c>
      <c r="C152" t="s">
        <v>49</v>
      </c>
      <c r="D152" t="s">
        <v>65</v>
      </c>
      <c r="E152" t="s">
        <v>72</v>
      </c>
      <c r="F152" t="s">
        <v>212</v>
      </c>
      <c r="G152" t="s">
        <v>391</v>
      </c>
      <c r="H152" t="s">
        <v>404</v>
      </c>
      <c r="I152" t="s">
        <v>539</v>
      </c>
      <c r="M152" s="1">
        <f>AVERAGE(J152:L152)</f>
        <v>0</v>
      </c>
      <c r="N152" s="1">
        <f>M152</f>
        <v>0</v>
      </c>
      <c r="P152" s="3">
        <f>IF(OR(H152="O", NOT(ISNUMBER(M152))), "", IF(COUNTIFS(C$2:C$999, C152, H$2:H$999, H152, M$2:M$999, "&lt;"&amp;M152)+1=1, 9, IF(COUNTIFS(C$2:C$999, C152, H$2:H$999, H152, M$2:M$999, "&lt;"&amp;M152)+1&lt;=8, 10-(COUNTIFS(C$2:C$999, C152, H$2:H$999, H152, M$2:M$999, "&lt;"&amp;M152)+1)-1, "")))</f>
        <v>0</v>
      </c>
      <c r="Q152" s="3">
        <f>IF(AND(N152&lt;&gt;"", O152&lt;&gt;""), 1, "")</f>
        <v>0</v>
      </c>
    </row>
    <row r="153" spans="1:17">
      <c r="A153">
        <v>152</v>
      </c>
      <c r="B153" t="s">
        <v>25</v>
      </c>
      <c r="C153" t="s">
        <v>49</v>
      </c>
      <c r="D153" t="s">
        <v>65</v>
      </c>
      <c r="E153" t="s">
        <v>73</v>
      </c>
      <c r="F153" t="s">
        <v>213</v>
      </c>
      <c r="G153" t="s">
        <v>393</v>
      </c>
      <c r="H153" t="s">
        <v>404</v>
      </c>
      <c r="I153" t="s">
        <v>540</v>
      </c>
      <c r="M153" s="1">
        <f>AVERAGE(J153:L153)</f>
        <v>0</v>
      </c>
      <c r="N153" s="1">
        <f>M153</f>
        <v>0</v>
      </c>
      <c r="P153" s="3">
        <f>IF(OR(H153="O", NOT(ISNUMBER(M153))), "", IF(COUNTIFS(C$2:C$999, C153, H$2:H$999, H153, M$2:M$999, "&lt;"&amp;M153)+1=1, 9, IF(COUNTIFS(C$2:C$999, C153, H$2:H$999, H153, M$2:M$999, "&lt;"&amp;M153)+1&lt;=8, 10-(COUNTIFS(C$2:C$999, C153, H$2:H$999, H153, M$2:M$999, "&lt;"&amp;M153)+1)-1, "")))</f>
        <v>0</v>
      </c>
      <c r="Q153" s="3">
        <f>IF(AND(N153&lt;&gt;"", O153&lt;&gt;""), 1, "")</f>
        <v>0</v>
      </c>
    </row>
    <row r="154" spans="1:17">
      <c r="A154">
        <v>153</v>
      </c>
      <c r="B154" t="s">
        <v>25</v>
      </c>
      <c r="C154" t="s">
        <v>49</v>
      </c>
      <c r="D154" t="s">
        <v>65</v>
      </c>
      <c r="E154" t="s">
        <v>74</v>
      </c>
      <c r="F154" t="s">
        <v>120</v>
      </c>
      <c r="G154" t="s">
        <v>392</v>
      </c>
      <c r="H154" t="s">
        <v>404</v>
      </c>
      <c r="I154" t="s">
        <v>447</v>
      </c>
      <c r="M154" s="1">
        <f>AVERAGE(J154:L154)</f>
        <v>0</v>
      </c>
      <c r="N154" s="1">
        <f>M154</f>
        <v>0</v>
      </c>
      <c r="P154" s="3">
        <f>IF(OR(H154="O", NOT(ISNUMBER(M154))), "", IF(COUNTIFS(C$2:C$999, C154, H$2:H$999, H154, M$2:M$999, "&lt;"&amp;M154)+1=1, 9, IF(COUNTIFS(C$2:C$999, C154, H$2:H$999, H154, M$2:M$999, "&lt;"&amp;M154)+1&lt;=8, 10-(COUNTIFS(C$2:C$999, C154, H$2:H$999, H154, M$2:M$999, "&lt;"&amp;M154)+1)-1, "")))</f>
        <v>0</v>
      </c>
      <c r="Q154" s="3">
        <f>IF(AND(N154&lt;&gt;"", O154&lt;&gt;""), 1, "")</f>
        <v>0</v>
      </c>
    </row>
    <row r="155" spans="1:17">
      <c r="A155">
        <v>154</v>
      </c>
      <c r="B155" t="s">
        <v>25</v>
      </c>
      <c r="C155" t="s">
        <v>49</v>
      </c>
      <c r="D155" t="s">
        <v>65</v>
      </c>
      <c r="E155" t="s">
        <v>75</v>
      </c>
      <c r="F155" t="s">
        <v>214</v>
      </c>
      <c r="G155" t="s">
        <v>394</v>
      </c>
      <c r="H155" t="s">
        <v>404</v>
      </c>
      <c r="I155" t="s">
        <v>541</v>
      </c>
      <c r="M155" s="1">
        <f>AVERAGE(J155:L155)</f>
        <v>0</v>
      </c>
      <c r="N155" s="1">
        <f>M155</f>
        <v>0</v>
      </c>
      <c r="P155" s="3">
        <f>IF(OR(H155="O", NOT(ISNUMBER(M155))), "", IF(COUNTIFS(C$2:C$999, C155, H$2:H$999, H155, M$2:M$999, "&lt;"&amp;M155)+1=1, 9, IF(COUNTIFS(C$2:C$999, C155, H$2:H$999, H155, M$2:M$999, "&lt;"&amp;M155)+1&lt;=8, 10-(COUNTIFS(C$2:C$999, C155, H$2:H$999, H155, M$2:M$999, "&lt;"&amp;M155)+1)-1, "")))</f>
        <v>0</v>
      </c>
      <c r="Q155" s="3">
        <f>IF(AND(N155&lt;&gt;"", O155&lt;&gt;""), 1, "")</f>
        <v>0</v>
      </c>
    </row>
    <row r="156" spans="1:17">
      <c r="A156">
        <v>155</v>
      </c>
      <c r="B156" t="s">
        <v>25</v>
      </c>
      <c r="C156" t="s">
        <v>49</v>
      </c>
      <c r="D156" t="s">
        <v>65</v>
      </c>
      <c r="E156" t="s">
        <v>76</v>
      </c>
      <c r="F156" t="s">
        <v>122</v>
      </c>
      <c r="G156" t="s">
        <v>395</v>
      </c>
      <c r="H156" t="s">
        <v>404</v>
      </c>
      <c r="I156" t="s">
        <v>449</v>
      </c>
      <c r="M156" s="1">
        <f>AVERAGE(J156:L156)</f>
        <v>0</v>
      </c>
      <c r="N156" s="1">
        <f>M156</f>
        <v>0</v>
      </c>
      <c r="P156" s="3">
        <f>IF(OR(H156="O", NOT(ISNUMBER(M156))), "", IF(COUNTIFS(C$2:C$999, C156, H$2:H$999, H156, M$2:M$999, "&lt;"&amp;M156)+1=1, 9, IF(COUNTIFS(C$2:C$999, C156, H$2:H$999, H156, M$2:M$999, "&lt;"&amp;M156)+1&lt;=8, 10-(COUNTIFS(C$2:C$999, C156, H$2:H$999, H156, M$2:M$999, "&lt;"&amp;M156)+1)-1, "")))</f>
        <v>0</v>
      </c>
      <c r="Q156" s="3">
        <f>IF(AND(N156&lt;&gt;"", O156&lt;&gt;""), 1, "")</f>
        <v>0</v>
      </c>
    </row>
    <row r="157" spans="1:17">
      <c r="A157">
        <v>156</v>
      </c>
      <c r="B157" t="s">
        <v>25</v>
      </c>
      <c r="C157" t="s">
        <v>49</v>
      </c>
      <c r="D157" t="s">
        <v>65</v>
      </c>
      <c r="E157" t="s">
        <v>77</v>
      </c>
      <c r="F157" t="s">
        <v>215</v>
      </c>
      <c r="G157" t="s">
        <v>396</v>
      </c>
      <c r="H157" t="s">
        <v>404</v>
      </c>
      <c r="I157" t="s">
        <v>542</v>
      </c>
      <c r="M157" s="1">
        <f>AVERAGE(J157:L157)</f>
        <v>0</v>
      </c>
      <c r="N157" s="1">
        <f>M157</f>
        <v>0</v>
      </c>
      <c r="P157" s="3">
        <f>IF(OR(H157="O", NOT(ISNUMBER(M157))), "", IF(COUNTIFS(C$2:C$999, C157, H$2:H$999, H157, M$2:M$999, "&lt;"&amp;M157)+1=1, 9, IF(COUNTIFS(C$2:C$999, C157, H$2:H$999, H157, M$2:M$999, "&lt;"&amp;M157)+1&lt;=8, 10-(COUNTIFS(C$2:C$999, C157, H$2:H$999, H157, M$2:M$999, "&lt;"&amp;M157)+1)-1, "")))</f>
        <v>0</v>
      </c>
      <c r="Q157" s="3">
        <f>IF(AND(N157&lt;&gt;"", O157&lt;&gt;""), 1, "")</f>
        <v>0</v>
      </c>
    </row>
    <row r="158" spans="1:17">
      <c r="A158">
        <v>157</v>
      </c>
      <c r="B158" t="s">
        <v>25</v>
      </c>
      <c r="C158" t="s">
        <v>49</v>
      </c>
      <c r="D158" t="s">
        <v>65</v>
      </c>
      <c r="E158" t="s">
        <v>78</v>
      </c>
      <c r="F158" t="s">
        <v>216</v>
      </c>
      <c r="G158" t="s">
        <v>397</v>
      </c>
      <c r="H158" t="s">
        <v>404</v>
      </c>
      <c r="I158" t="s">
        <v>543</v>
      </c>
      <c r="M158" s="1">
        <f>AVERAGE(J158:L158)</f>
        <v>0</v>
      </c>
      <c r="N158" s="1">
        <f>M158</f>
        <v>0</v>
      </c>
      <c r="P158" s="3">
        <f>IF(OR(H158="O", NOT(ISNUMBER(M158))), "", IF(COUNTIFS(C$2:C$999, C158, H$2:H$999, H158, M$2:M$999, "&lt;"&amp;M158)+1=1, 9, IF(COUNTIFS(C$2:C$999, C158, H$2:H$999, H158, M$2:M$999, "&lt;"&amp;M158)+1&lt;=8, 10-(COUNTIFS(C$2:C$999, C158, H$2:H$999, H158, M$2:M$999, "&lt;"&amp;M158)+1)-1, "")))</f>
        <v>0</v>
      </c>
      <c r="Q158" s="3">
        <f>IF(AND(N158&lt;&gt;"", O158&lt;&gt;""), 1, "")</f>
        <v>0</v>
      </c>
    </row>
    <row r="159" spans="1:17">
      <c r="A159">
        <v>158</v>
      </c>
      <c r="B159" t="s">
        <v>25</v>
      </c>
      <c r="C159" t="s">
        <v>49</v>
      </c>
      <c r="D159" t="s">
        <v>66</v>
      </c>
      <c r="E159" t="s">
        <v>71</v>
      </c>
      <c r="F159" t="s">
        <v>131</v>
      </c>
      <c r="G159" t="s">
        <v>399</v>
      </c>
      <c r="H159" t="s">
        <v>405</v>
      </c>
      <c r="I159" t="s">
        <v>458</v>
      </c>
      <c r="M159" s="1">
        <f>AVERAGE(J159:L159)</f>
        <v>0</v>
      </c>
      <c r="N159" s="1">
        <f>M159</f>
        <v>0</v>
      </c>
      <c r="P159" s="3">
        <f>IF(OR(H159="O", NOT(ISNUMBER(M159))), "", IF(COUNTIFS(C$2:C$999, C159, H$2:H$999, H159, M$2:M$999, "&lt;"&amp;M159)+1=1, 9, IF(COUNTIFS(C$2:C$999, C159, H$2:H$999, H159, M$2:M$999, "&lt;"&amp;M159)+1&lt;=8, 10-(COUNTIFS(C$2:C$999, C159, H$2:H$999, H159, M$2:M$999, "&lt;"&amp;M159)+1)-1, "")))</f>
        <v>0</v>
      </c>
      <c r="Q159" s="3">
        <f>IF(AND(N159&lt;&gt;"", O159&lt;&gt;""), 1, "")</f>
        <v>0</v>
      </c>
    </row>
    <row r="160" spans="1:17">
      <c r="A160">
        <v>159</v>
      </c>
      <c r="B160" t="s">
        <v>25</v>
      </c>
      <c r="C160" t="s">
        <v>49</v>
      </c>
      <c r="D160" t="s">
        <v>66</v>
      </c>
      <c r="E160" t="s">
        <v>72</v>
      </c>
      <c r="F160" t="s">
        <v>126</v>
      </c>
      <c r="G160" t="s">
        <v>400</v>
      </c>
      <c r="H160" t="s">
        <v>406</v>
      </c>
      <c r="I160" t="s">
        <v>453</v>
      </c>
      <c r="M160" s="1">
        <f>AVERAGE(J160:L160)</f>
        <v>0</v>
      </c>
      <c r="N160" s="1">
        <f>M160</f>
        <v>0</v>
      </c>
      <c r="P160" s="3">
        <f>IF(OR(H160="O", NOT(ISNUMBER(M160))), "", IF(COUNTIFS(C$2:C$999, C160, H$2:H$999, H160, M$2:M$999, "&lt;"&amp;M160)+1=1, 9, IF(COUNTIFS(C$2:C$999, C160, H$2:H$999, H160, M$2:M$999, "&lt;"&amp;M160)+1&lt;=8, 10-(COUNTIFS(C$2:C$999, C160, H$2:H$999, H160, M$2:M$999, "&lt;"&amp;M160)+1)-1, "")))</f>
        <v>0</v>
      </c>
      <c r="Q160" s="3">
        <f>IF(AND(N160&lt;&gt;"", O160&lt;&gt;""), 1, "")</f>
        <v>0</v>
      </c>
    </row>
    <row r="161" spans="1:17">
      <c r="A161">
        <v>160</v>
      </c>
      <c r="B161" t="s">
        <v>25</v>
      </c>
      <c r="C161" t="s">
        <v>49</v>
      </c>
      <c r="D161" t="s">
        <v>66</v>
      </c>
      <c r="E161" t="s">
        <v>73</v>
      </c>
      <c r="F161" t="s">
        <v>217</v>
      </c>
      <c r="G161" t="s">
        <v>394</v>
      </c>
      <c r="H161" t="s">
        <v>406</v>
      </c>
      <c r="I161" t="s">
        <v>544</v>
      </c>
      <c r="M161" s="1">
        <f>AVERAGE(J161:L161)</f>
        <v>0</v>
      </c>
      <c r="N161" s="1">
        <f>M161</f>
        <v>0</v>
      </c>
      <c r="P161" s="3">
        <f>IF(OR(H161="O", NOT(ISNUMBER(M161))), "", IF(COUNTIFS(C$2:C$999, C161, H$2:H$999, H161, M$2:M$999, "&lt;"&amp;M161)+1=1, 9, IF(COUNTIFS(C$2:C$999, C161, H$2:H$999, H161, M$2:M$999, "&lt;"&amp;M161)+1&lt;=8, 10-(COUNTIFS(C$2:C$999, C161, H$2:H$999, H161, M$2:M$999, "&lt;"&amp;M161)+1)-1, "")))</f>
        <v>0</v>
      </c>
      <c r="Q161" s="3">
        <f>IF(AND(N161&lt;&gt;"", O161&lt;&gt;""), 1, "")</f>
        <v>0</v>
      </c>
    </row>
    <row r="162" spans="1:17">
      <c r="A162">
        <v>161</v>
      </c>
      <c r="B162" t="s">
        <v>25</v>
      </c>
      <c r="C162" t="s">
        <v>49</v>
      </c>
      <c r="D162" t="s">
        <v>66</v>
      </c>
      <c r="E162" t="s">
        <v>74</v>
      </c>
      <c r="F162" t="s">
        <v>130</v>
      </c>
      <c r="G162" t="s">
        <v>398</v>
      </c>
      <c r="H162" t="s">
        <v>406</v>
      </c>
      <c r="I162" t="s">
        <v>457</v>
      </c>
      <c r="M162" s="1">
        <f>AVERAGE(J162:L162)</f>
        <v>0</v>
      </c>
      <c r="N162" s="1">
        <f>M162</f>
        <v>0</v>
      </c>
      <c r="P162" s="3">
        <f>IF(OR(H162="O", NOT(ISNUMBER(M162))), "", IF(COUNTIFS(C$2:C$999, C162, H$2:H$999, H162, M$2:M$999, "&lt;"&amp;M162)+1=1, 9, IF(COUNTIFS(C$2:C$999, C162, H$2:H$999, H162, M$2:M$999, "&lt;"&amp;M162)+1&lt;=8, 10-(COUNTIFS(C$2:C$999, C162, H$2:H$999, H162, M$2:M$999, "&lt;"&amp;M162)+1)-1, "")))</f>
        <v>0</v>
      </c>
      <c r="Q162" s="3">
        <f>IF(AND(N162&lt;&gt;"", O162&lt;&gt;""), 1, "")</f>
        <v>0</v>
      </c>
    </row>
    <row r="163" spans="1:17">
      <c r="A163">
        <v>162</v>
      </c>
      <c r="B163" t="s">
        <v>25</v>
      </c>
      <c r="C163" t="s">
        <v>49</v>
      </c>
      <c r="D163" t="s">
        <v>66</v>
      </c>
      <c r="E163" t="s">
        <v>75</v>
      </c>
      <c r="F163" t="s">
        <v>128</v>
      </c>
      <c r="G163" t="s">
        <v>399</v>
      </c>
      <c r="H163" t="s">
        <v>406</v>
      </c>
      <c r="I163" t="s">
        <v>455</v>
      </c>
      <c r="M163" s="1">
        <f>AVERAGE(J163:L163)</f>
        <v>0</v>
      </c>
      <c r="N163" s="1">
        <f>M163</f>
        <v>0</v>
      </c>
      <c r="P163" s="3">
        <f>IF(OR(H163="O", NOT(ISNUMBER(M163))), "", IF(COUNTIFS(C$2:C$999, C163, H$2:H$999, H163, M$2:M$999, "&lt;"&amp;M163)+1=1, 9, IF(COUNTIFS(C$2:C$999, C163, H$2:H$999, H163, M$2:M$999, "&lt;"&amp;M163)+1&lt;=8, 10-(COUNTIFS(C$2:C$999, C163, H$2:H$999, H163, M$2:M$999, "&lt;"&amp;M163)+1)-1, "")))</f>
        <v>0</v>
      </c>
      <c r="Q163" s="3">
        <f>IF(AND(N163&lt;&gt;"", O163&lt;&gt;""), 1, "")</f>
        <v>0</v>
      </c>
    </row>
    <row r="164" spans="1:17">
      <c r="A164">
        <v>163</v>
      </c>
      <c r="B164" t="s">
        <v>25</v>
      </c>
      <c r="C164" t="s">
        <v>49</v>
      </c>
      <c r="D164" t="s">
        <v>66</v>
      </c>
      <c r="E164" t="s">
        <v>76</v>
      </c>
      <c r="F164" t="s">
        <v>129</v>
      </c>
      <c r="G164" t="s">
        <v>402</v>
      </c>
      <c r="H164" t="s">
        <v>406</v>
      </c>
      <c r="I164" t="s">
        <v>456</v>
      </c>
      <c r="M164" s="1">
        <f>AVERAGE(J164:L164)</f>
        <v>0</v>
      </c>
      <c r="N164" s="1">
        <f>M164</f>
        <v>0</v>
      </c>
      <c r="P164" s="3">
        <f>IF(OR(H164="O", NOT(ISNUMBER(M164))), "", IF(COUNTIFS(C$2:C$999, C164, H$2:H$999, H164, M$2:M$999, "&lt;"&amp;M164)+1=1, 9, IF(COUNTIFS(C$2:C$999, C164, H$2:H$999, H164, M$2:M$999, "&lt;"&amp;M164)+1&lt;=8, 10-(COUNTIFS(C$2:C$999, C164, H$2:H$999, H164, M$2:M$999, "&lt;"&amp;M164)+1)-1, "")))</f>
        <v>0</v>
      </c>
      <c r="Q164" s="3">
        <f>IF(AND(N164&lt;&gt;"", O164&lt;&gt;""), 1, "")</f>
        <v>0</v>
      </c>
    </row>
    <row r="165" spans="1:17">
      <c r="A165">
        <v>164</v>
      </c>
      <c r="B165" t="s">
        <v>25</v>
      </c>
      <c r="C165" t="s">
        <v>49</v>
      </c>
      <c r="D165" t="s">
        <v>66</v>
      </c>
      <c r="E165" t="s">
        <v>77</v>
      </c>
      <c r="F165" t="s">
        <v>125</v>
      </c>
      <c r="G165" t="s">
        <v>392</v>
      </c>
      <c r="H165" t="s">
        <v>406</v>
      </c>
      <c r="I165" t="s">
        <v>452</v>
      </c>
      <c r="M165" s="1">
        <f>AVERAGE(J165:L165)</f>
        <v>0</v>
      </c>
      <c r="N165" s="1">
        <f>M165</f>
        <v>0</v>
      </c>
      <c r="P165" s="3">
        <f>IF(OR(H165="O", NOT(ISNUMBER(M165))), "", IF(COUNTIFS(C$2:C$999, C165, H$2:H$999, H165, M$2:M$999, "&lt;"&amp;M165)+1=1, 9, IF(COUNTIFS(C$2:C$999, C165, H$2:H$999, H165, M$2:M$999, "&lt;"&amp;M165)+1&lt;=8, 10-(COUNTIFS(C$2:C$999, C165, H$2:H$999, H165, M$2:M$999, "&lt;"&amp;M165)+1)-1, "")))</f>
        <v>0</v>
      </c>
      <c r="Q165" s="3">
        <f>IF(AND(N165&lt;&gt;"", O165&lt;&gt;""), 1, "")</f>
        <v>0</v>
      </c>
    </row>
    <row r="166" spans="1:17">
      <c r="A166">
        <v>165</v>
      </c>
      <c r="B166" t="s">
        <v>26</v>
      </c>
      <c r="C166" t="s">
        <v>50</v>
      </c>
      <c r="D166" t="s">
        <v>65</v>
      </c>
      <c r="E166" t="s">
        <v>71</v>
      </c>
      <c r="F166" t="s">
        <v>132</v>
      </c>
      <c r="G166" t="s">
        <v>390</v>
      </c>
      <c r="H166" t="s">
        <v>404</v>
      </c>
      <c r="I166" t="s">
        <v>459</v>
      </c>
      <c r="M166" s="1">
        <f>AVERAGE(J166:L166)</f>
        <v>0</v>
      </c>
      <c r="N166" s="1">
        <f>M166</f>
        <v>0</v>
      </c>
      <c r="P166" s="3">
        <f>IF(OR(H166="O", NOT(ISNUMBER(M166))), "", IF(COUNTIFS(C$2:C$999, C166, H$2:H$999, H166, M$2:M$999, "&lt;"&amp;M166)+1=1, 9, IF(COUNTIFS(C$2:C$999, C166, H$2:H$999, H166, M$2:M$999, "&lt;"&amp;M166)+1&lt;=8, 10-(COUNTIFS(C$2:C$999, C166, H$2:H$999, H166, M$2:M$999, "&lt;"&amp;M166)+1)-1, "")))</f>
        <v>0</v>
      </c>
      <c r="Q166" s="3">
        <f>IF(AND(N166&lt;&gt;"", O166&lt;&gt;""), 1, "")</f>
        <v>0</v>
      </c>
    </row>
    <row r="167" spans="1:17">
      <c r="A167">
        <v>166</v>
      </c>
      <c r="B167" t="s">
        <v>26</v>
      </c>
      <c r="C167" t="s">
        <v>50</v>
      </c>
      <c r="D167" t="s">
        <v>65</v>
      </c>
      <c r="E167" t="s">
        <v>72</v>
      </c>
      <c r="F167" t="s">
        <v>133</v>
      </c>
      <c r="G167" t="s">
        <v>391</v>
      </c>
      <c r="H167" t="s">
        <v>404</v>
      </c>
      <c r="I167" t="s">
        <v>460</v>
      </c>
      <c r="M167" s="1">
        <f>AVERAGE(J167:L167)</f>
        <v>0</v>
      </c>
      <c r="N167" s="1">
        <f>M167</f>
        <v>0</v>
      </c>
      <c r="P167" s="3">
        <f>IF(OR(H167="O", NOT(ISNUMBER(M167))), "", IF(COUNTIFS(C$2:C$999, C167, H$2:H$999, H167, M$2:M$999, "&lt;"&amp;M167)+1=1, 9, IF(COUNTIFS(C$2:C$999, C167, H$2:H$999, H167, M$2:M$999, "&lt;"&amp;M167)+1&lt;=8, 10-(COUNTIFS(C$2:C$999, C167, H$2:H$999, H167, M$2:M$999, "&lt;"&amp;M167)+1)-1, "")))</f>
        <v>0</v>
      </c>
      <c r="Q167" s="3">
        <f>IF(AND(N167&lt;&gt;"", O167&lt;&gt;""), 1, "")</f>
        <v>0</v>
      </c>
    </row>
    <row r="168" spans="1:17">
      <c r="A168">
        <v>167</v>
      </c>
      <c r="B168" t="s">
        <v>26</v>
      </c>
      <c r="C168" t="s">
        <v>50</v>
      </c>
      <c r="D168" t="s">
        <v>65</v>
      </c>
      <c r="E168" t="s">
        <v>73</v>
      </c>
      <c r="F168" t="s">
        <v>218</v>
      </c>
      <c r="G168" t="s">
        <v>393</v>
      </c>
      <c r="H168" t="s">
        <v>404</v>
      </c>
      <c r="I168" t="s">
        <v>545</v>
      </c>
      <c r="M168" s="1">
        <f>AVERAGE(J168:L168)</f>
        <v>0</v>
      </c>
      <c r="N168" s="1">
        <f>M168</f>
        <v>0</v>
      </c>
      <c r="P168" s="3">
        <f>IF(OR(H168="O", NOT(ISNUMBER(M168))), "", IF(COUNTIFS(C$2:C$999, C168, H$2:H$999, H168, M$2:M$999, "&lt;"&amp;M168)+1=1, 9, IF(COUNTIFS(C$2:C$999, C168, H$2:H$999, H168, M$2:M$999, "&lt;"&amp;M168)+1&lt;=8, 10-(COUNTIFS(C$2:C$999, C168, H$2:H$999, H168, M$2:M$999, "&lt;"&amp;M168)+1)-1, "")))</f>
        <v>0</v>
      </c>
      <c r="Q168" s="3">
        <f>IF(AND(N168&lt;&gt;"", O168&lt;&gt;""), 1, "")</f>
        <v>0</v>
      </c>
    </row>
    <row r="169" spans="1:17">
      <c r="A169">
        <v>168</v>
      </c>
      <c r="B169" t="s">
        <v>26</v>
      </c>
      <c r="C169" t="s">
        <v>50</v>
      </c>
      <c r="D169" t="s">
        <v>65</v>
      </c>
      <c r="E169" t="s">
        <v>74</v>
      </c>
      <c r="F169" t="s">
        <v>219</v>
      </c>
      <c r="G169" t="s">
        <v>392</v>
      </c>
      <c r="H169" t="s">
        <v>404</v>
      </c>
      <c r="I169" t="s">
        <v>546</v>
      </c>
      <c r="M169" s="1">
        <f>AVERAGE(J169:L169)</f>
        <v>0</v>
      </c>
      <c r="N169" s="1">
        <f>M169</f>
        <v>0</v>
      </c>
      <c r="P169" s="3">
        <f>IF(OR(H169="O", NOT(ISNUMBER(M169))), "", IF(COUNTIFS(C$2:C$999, C169, H$2:H$999, H169, M$2:M$999, "&lt;"&amp;M169)+1=1, 9, IF(COUNTIFS(C$2:C$999, C169, H$2:H$999, H169, M$2:M$999, "&lt;"&amp;M169)+1&lt;=8, 10-(COUNTIFS(C$2:C$999, C169, H$2:H$999, H169, M$2:M$999, "&lt;"&amp;M169)+1)-1, "")))</f>
        <v>0</v>
      </c>
      <c r="Q169" s="3">
        <f>IF(AND(N169&lt;&gt;"", O169&lt;&gt;""), 1, "")</f>
        <v>0</v>
      </c>
    </row>
    <row r="170" spans="1:17">
      <c r="A170">
        <v>169</v>
      </c>
      <c r="B170" t="s">
        <v>26</v>
      </c>
      <c r="C170" t="s">
        <v>50</v>
      </c>
      <c r="D170" t="s">
        <v>65</v>
      </c>
      <c r="E170" t="s">
        <v>75</v>
      </c>
      <c r="F170" t="s">
        <v>220</v>
      </c>
      <c r="G170" t="s">
        <v>394</v>
      </c>
      <c r="H170" t="s">
        <v>404</v>
      </c>
      <c r="I170" t="s">
        <v>547</v>
      </c>
      <c r="M170" s="1">
        <f>AVERAGE(J170:L170)</f>
        <v>0</v>
      </c>
      <c r="N170" s="1">
        <f>M170</f>
        <v>0</v>
      </c>
      <c r="P170" s="3">
        <f>IF(OR(H170="O", NOT(ISNUMBER(M170))), "", IF(COUNTIFS(C$2:C$999, C170, H$2:H$999, H170, M$2:M$999, "&lt;"&amp;M170)+1=1, 9, IF(COUNTIFS(C$2:C$999, C170, H$2:H$999, H170, M$2:M$999, "&lt;"&amp;M170)+1&lt;=8, 10-(COUNTIFS(C$2:C$999, C170, H$2:H$999, H170, M$2:M$999, "&lt;"&amp;M170)+1)-1, "")))</f>
        <v>0</v>
      </c>
      <c r="Q170" s="3">
        <f>IF(AND(N170&lt;&gt;"", O170&lt;&gt;""), 1, "")</f>
        <v>0</v>
      </c>
    </row>
    <row r="171" spans="1:17">
      <c r="A171">
        <v>170</v>
      </c>
      <c r="B171" t="s">
        <v>26</v>
      </c>
      <c r="C171" t="s">
        <v>50</v>
      </c>
      <c r="D171" t="s">
        <v>65</v>
      </c>
      <c r="E171" t="s">
        <v>76</v>
      </c>
      <c r="F171" t="s">
        <v>221</v>
      </c>
      <c r="G171" t="s">
        <v>395</v>
      </c>
      <c r="H171" t="s">
        <v>404</v>
      </c>
      <c r="I171" t="s">
        <v>548</v>
      </c>
      <c r="M171" s="1">
        <f>AVERAGE(J171:L171)</f>
        <v>0</v>
      </c>
      <c r="N171" s="1">
        <f>M171</f>
        <v>0</v>
      </c>
      <c r="P171" s="3">
        <f>IF(OR(H171="O", NOT(ISNUMBER(M171))), "", IF(COUNTIFS(C$2:C$999, C171, H$2:H$999, H171, M$2:M$999, "&lt;"&amp;M171)+1=1, 9, IF(COUNTIFS(C$2:C$999, C171, H$2:H$999, H171, M$2:M$999, "&lt;"&amp;M171)+1&lt;=8, 10-(COUNTIFS(C$2:C$999, C171, H$2:H$999, H171, M$2:M$999, "&lt;"&amp;M171)+1)-1, "")))</f>
        <v>0</v>
      </c>
      <c r="Q171" s="3">
        <f>IF(AND(N171&lt;&gt;"", O171&lt;&gt;""), 1, "")</f>
        <v>0</v>
      </c>
    </row>
    <row r="172" spans="1:17">
      <c r="A172">
        <v>171</v>
      </c>
      <c r="B172" t="s">
        <v>26</v>
      </c>
      <c r="C172" t="s">
        <v>50</v>
      </c>
      <c r="D172" t="s">
        <v>65</v>
      </c>
      <c r="E172" t="s">
        <v>77</v>
      </c>
      <c r="F172" t="s">
        <v>138</v>
      </c>
      <c r="G172" t="s">
        <v>396</v>
      </c>
      <c r="H172" t="s">
        <v>404</v>
      </c>
      <c r="I172" t="s">
        <v>465</v>
      </c>
      <c r="M172" s="1">
        <f>AVERAGE(J172:L172)</f>
        <v>0</v>
      </c>
      <c r="N172" s="1">
        <f>M172</f>
        <v>0</v>
      </c>
      <c r="P172" s="3">
        <f>IF(OR(H172="O", NOT(ISNUMBER(M172))), "", IF(COUNTIFS(C$2:C$999, C172, H$2:H$999, H172, M$2:M$999, "&lt;"&amp;M172)+1=1, 9, IF(COUNTIFS(C$2:C$999, C172, H$2:H$999, H172, M$2:M$999, "&lt;"&amp;M172)+1&lt;=8, 10-(COUNTIFS(C$2:C$999, C172, H$2:H$999, H172, M$2:M$999, "&lt;"&amp;M172)+1)-1, "")))</f>
        <v>0</v>
      </c>
      <c r="Q172" s="3">
        <f>IF(AND(N172&lt;&gt;"", O172&lt;&gt;""), 1, "")</f>
        <v>0</v>
      </c>
    </row>
    <row r="173" spans="1:17">
      <c r="A173">
        <v>172</v>
      </c>
      <c r="B173" t="s">
        <v>26</v>
      </c>
      <c r="C173" t="s">
        <v>50</v>
      </c>
      <c r="D173" t="s">
        <v>65</v>
      </c>
      <c r="E173" t="s">
        <v>78</v>
      </c>
      <c r="F173" t="s">
        <v>139</v>
      </c>
      <c r="G173" t="s">
        <v>397</v>
      </c>
      <c r="H173" t="s">
        <v>404</v>
      </c>
      <c r="I173" t="s">
        <v>466</v>
      </c>
      <c r="M173" s="1">
        <f>AVERAGE(J173:L173)</f>
        <v>0</v>
      </c>
      <c r="N173" s="1">
        <f>M173</f>
        <v>0</v>
      </c>
      <c r="P173" s="3">
        <f>IF(OR(H173="O", NOT(ISNUMBER(M173))), "", IF(COUNTIFS(C$2:C$999, C173, H$2:H$999, H173, M$2:M$999, "&lt;"&amp;M173)+1=1, 9, IF(COUNTIFS(C$2:C$999, C173, H$2:H$999, H173, M$2:M$999, "&lt;"&amp;M173)+1&lt;=8, 10-(COUNTIFS(C$2:C$999, C173, H$2:H$999, H173, M$2:M$999, "&lt;"&amp;M173)+1)-1, "")))</f>
        <v>0</v>
      </c>
      <c r="Q173" s="3">
        <f>IF(AND(N173&lt;&gt;"", O173&lt;&gt;""), 1, "")</f>
        <v>0</v>
      </c>
    </row>
    <row r="174" spans="1:17">
      <c r="A174">
        <v>173</v>
      </c>
      <c r="B174" t="s">
        <v>26</v>
      </c>
      <c r="C174" t="s">
        <v>50</v>
      </c>
      <c r="D174" t="s">
        <v>65</v>
      </c>
      <c r="E174" t="s">
        <v>80</v>
      </c>
      <c r="F174" t="s">
        <v>222</v>
      </c>
      <c r="G174" t="s">
        <v>394</v>
      </c>
      <c r="H174" t="s">
        <v>405</v>
      </c>
      <c r="I174" t="s">
        <v>549</v>
      </c>
      <c r="M174" s="1">
        <f>AVERAGE(J174:L174)</f>
        <v>0</v>
      </c>
      <c r="N174" s="1">
        <f>M174</f>
        <v>0</v>
      </c>
      <c r="P174" s="3">
        <f>IF(OR(H174="O", NOT(ISNUMBER(M174))), "", IF(COUNTIFS(C$2:C$999, C174, H$2:H$999, H174, M$2:M$999, "&lt;"&amp;M174)+1=1, 9, IF(COUNTIFS(C$2:C$999, C174, H$2:H$999, H174, M$2:M$999, "&lt;"&amp;M174)+1&lt;=8, 10-(COUNTIFS(C$2:C$999, C174, H$2:H$999, H174, M$2:M$999, "&lt;"&amp;M174)+1)-1, "")))</f>
        <v>0</v>
      </c>
      <c r="Q174" s="3">
        <f>IF(AND(N174&lt;&gt;"", O174&lt;&gt;""), 1, "")</f>
        <v>0</v>
      </c>
    </row>
    <row r="175" spans="1:17">
      <c r="A175">
        <v>174</v>
      </c>
      <c r="B175" t="s">
        <v>26</v>
      </c>
      <c r="C175" t="s">
        <v>50</v>
      </c>
      <c r="D175" t="s">
        <v>66</v>
      </c>
      <c r="E175" t="s">
        <v>79</v>
      </c>
      <c r="F175" t="s">
        <v>149</v>
      </c>
      <c r="G175" t="s">
        <v>391</v>
      </c>
      <c r="H175" t="s">
        <v>406</v>
      </c>
      <c r="I175" t="s">
        <v>476</v>
      </c>
      <c r="M175" s="1">
        <f>AVERAGE(J175:L175)</f>
        <v>0</v>
      </c>
      <c r="N175" s="1">
        <f>M175</f>
        <v>0</v>
      </c>
      <c r="P175" s="3">
        <f>IF(OR(H175="O", NOT(ISNUMBER(M175))), "", IF(COUNTIFS(C$2:C$999, C175, H$2:H$999, H175, M$2:M$999, "&lt;"&amp;M175)+1=1, 9, IF(COUNTIFS(C$2:C$999, C175, H$2:H$999, H175, M$2:M$999, "&lt;"&amp;M175)+1&lt;=8, 10-(COUNTIFS(C$2:C$999, C175, H$2:H$999, H175, M$2:M$999, "&lt;"&amp;M175)+1)-1, "")))</f>
        <v>0</v>
      </c>
      <c r="Q175" s="3">
        <f>IF(AND(N175&lt;&gt;"", O175&lt;&gt;""), 1, "")</f>
        <v>0</v>
      </c>
    </row>
    <row r="176" spans="1:17">
      <c r="A176">
        <v>175</v>
      </c>
      <c r="B176" t="s">
        <v>26</v>
      </c>
      <c r="C176" t="s">
        <v>50</v>
      </c>
      <c r="D176" t="s">
        <v>66</v>
      </c>
      <c r="E176" t="s">
        <v>71</v>
      </c>
      <c r="F176" t="s">
        <v>143</v>
      </c>
      <c r="G176" t="s">
        <v>392</v>
      </c>
      <c r="H176" t="s">
        <v>406</v>
      </c>
      <c r="I176" t="s">
        <v>470</v>
      </c>
      <c r="M176" s="1">
        <f>AVERAGE(J176:L176)</f>
        <v>0</v>
      </c>
      <c r="N176" s="1">
        <f>M176</f>
        <v>0</v>
      </c>
      <c r="P176" s="3">
        <f>IF(OR(H176="O", NOT(ISNUMBER(M176))), "", IF(COUNTIFS(C$2:C$999, C176, H$2:H$999, H176, M$2:M$999, "&lt;"&amp;M176)+1=1, 9, IF(COUNTIFS(C$2:C$999, C176, H$2:H$999, H176, M$2:M$999, "&lt;"&amp;M176)+1&lt;=8, 10-(COUNTIFS(C$2:C$999, C176, H$2:H$999, H176, M$2:M$999, "&lt;"&amp;M176)+1)-1, "")))</f>
        <v>0</v>
      </c>
      <c r="Q176" s="3">
        <f>IF(AND(N176&lt;&gt;"", O176&lt;&gt;""), 1, "")</f>
        <v>0</v>
      </c>
    </row>
    <row r="177" spans="1:17">
      <c r="A177">
        <v>176</v>
      </c>
      <c r="B177" t="s">
        <v>26</v>
      </c>
      <c r="C177" t="s">
        <v>50</v>
      </c>
      <c r="D177" t="s">
        <v>66</v>
      </c>
      <c r="E177" t="s">
        <v>72</v>
      </c>
      <c r="F177" t="s">
        <v>146</v>
      </c>
      <c r="G177" t="s">
        <v>401</v>
      </c>
      <c r="H177" t="s">
        <v>406</v>
      </c>
      <c r="I177" t="s">
        <v>473</v>
      </c>
      <c r="M177" s="1">
        <f>AVERAGE(J177:L177)</f>
        <v>0</v>
      </c>
      <c r="N177" s="1">
        <f>M177</f>
        <v>0</v>
      </c>
      <c r="P177" s="3">
        <f>IF(OR(H177="O", NOT(ISNUMBER(M177))), "", IF(COUNTIFS(C$2:C$999, C177, H$2:H$999, H177, M$2:M$999, "&lt;"&amp;M177)+1=1, 9, IF(COUNTIFS(C$2:C$999, C177, H$2:H$999, H177, M$2:M$999, "&lt;"&amp;M177)+1&lt;=8, 10-(COUNTIFS(C$2:C$999, C177, H$2:H$999, H177, M$2:M$999, "&lt;"&amp;M177)+1)-1, "")))</f>
        <v>0</v>
      </c>
      <c r="Q177" s="3">
        <f>IF(AND(N177&lt;&gt;"", O177&lt;&gt;""), 1, "")</f>
        <v>0</v>
      </c>
    </row>
    <row r="178" spans="1:17">
      <c r="A178">
        <v>177</v>
      </c>
      <c r="B178" t="s">
        <v>26</v>
      </c>
      <c r="C178" t="s">
        <v>50</v>
      </c>
      <c r="D178" t="s">
        <v>66</v>
      </c>
      <c r="E178" t="s">
        <v>73</v>
      </c>
      <c r="F178" t="s">
        <v>142</v>
      </c>
      <c r="G178" t="s">
        <v>400</v>
      </c>
      <c r="H178" t="s">
        <v>406</v>
      </c>
      <c r="I178" t="s">
        <v>469</v>
      </c>
      <c r="M178" s="1">
        <f>AVERAGE(J178:L178)</f>
        <v>0</v>
      </c>
      <c r="N178" s="1">
        <f>M178</f>
        <v>0</v>
      </c>
      <c r="P178" s="3">
        <f>IF(OR(H178="O", NOT(ISNUMBER(M178))), "", IF(COUNTIFS(C$2:C$999, C178, H$2:H$999, H178, M$2:M$999, "&lt;"&amp;M178)+1=1, 9, IF(COUNTIFS(C$2:C$999, C178, H$2:H$999, H178, M$2:M$999, "&lt;"&amp;M178)+1&lt;=8, 10-(COUNTIFS(C$2:C$999, C178, H$2:H$999, H178, M$2:M$999, "&lt;"&amp;M178)+1)-1, "")))</f>
        <v>0</v>
      </c>
      <c r="Q178" s="3">
        <f>IF(AND(N178&lt;&gt;"", O178&lt;&gt;""), 1, "")</f>
        <v>0</v>
      </c>
    </row>
    <row r="179" spans="1:17">
      <c r="A179">
        <v>178</v>
      </c>
      <c r="B179" t="s">
        <v>26</v>
      </c>
      <c r="C179" t="s">
        <v>50</v>
      </c>
      <c r="D179" t="s">
        <v>66</v>
      </c>
      <c r="E179" t="s">
        <v>74</v>
      </c>
      <c r="F179" t="s">
        <v>223</v>
      </c>
      <c r="G179" t="s">
        <v>394</v>
      </c>
      <c r="H179" t="s">
        <v>406</v>
      </c>
      <c r="I179" t="s">
        <v>550</v>
      </c>
      <c r="M179" s="1">
        <f>AVERAGE(J179:L179)</f>
        <v>0</v>
      </c>
      <c r="N179" s="1">
        <f>M179</f>
        <v>0</v>
      </c>
      <c r="P179" s="3">
        <f>IF(OR(H179="O", NOT(ISNUMBER(M179))), "", IF(COUNTIFS(C$2:C$999, C179, H$2:H$999, H179, M$2:M$999, "&lt;"&amp;M179)+1=1, 9, IF(COUNTIFS(C$2:C$999, C179, H$2:H$999, H179, M$2:M$999, "&lt;"&amp;M179)+1&lt;=8, 10-(COUNTIFS(C$2:C$999, C179, H$2:H$999, H179, M$2:M$999, "&lt;"&amp;M179)+1)-1, "")))</f>
        <v>0</v>
      </c>
      <c r="Q179" s="3">
        <f>IF(AND(N179&lt;&gt;"", O179&lt;&gt;""), 1, "")</f>
        <v>0</v>
      </c>
    </row>
    <row r="180" spans="1:17">
      <c r="A180">
        <v>179</v>
      </c>
      <c r="B180" t="s">
        <v>26</v>
      </c>
      <c r="C180" t="s">
        <v>50</v>
      </c>
      <c r="D180" t="s">
        <v>66</v>
      </c>
      <c r="E180" t="s">
        <v>75</v>
      </c>
      <c r="F180" t="s">
        <v>224</v>
      </c>
      <c r="G180" t="s">
        <v>399</v>
      </c>
      <c r="H180" t="s">
        <v>406</v>
      </c>
      <c r="I180" t="s">
        <v>551</v>
      </c>
      <c r="M180" s="1">
        <f>AVERAGE(J180:L180)</f>
        <v>0</v>
      </c>
      <c r="N180" s="1">
        <f>M180</f>
        <v>0</v>
      </c>
      <c r="P180" s="3">
        <f>IF(OR(H180="O", NOT(ISNUMBER(M180))), "", IF(COUNTIFS(C$2:C$999, C180, H$2:H$999, H180, M$2:M$999, "&lt;"&amp;M180)+1=1, 9, IF(COUNTIFS(C$2:C$999, C180, H$2:H$999, H180, M$2:M$999, "&lt;"&amp;M180)+1&lt;=8, 10-(COUNTIFS(C$2:C$999, C180, H$2:H$999, H180, M$2:M$999, "&lt;"&amp;M180)+1)-1, "")))</f>
        <v>0</v>
      </c>
      <c r="Q180" s="3">
        <f>IF(AND(N180&lt;&gt;"", O180&lt;&gt;""), 1, "")</f>
        <v>0</v>
      </c>
    </row>
    <row r="181" spans="1:17">
      <c r="A181">
        <v>180</v>
      </c>
      <c r="B181" t="s">
        <v>26</v>
      </c>
      <c r="C181" t="s">
        <v>50</v>
      </c>
      <c r="D181" t="s">
        <v>66</v>
      </c>
      <c r="E181" t="s">
        <v>76</v>
      </c>
      <c r="F181" t="s">
        <v>141</v>
      </c>
      <c r="G181" t="s">
        <v>402</v>
      </c>
      <c r="H181" t="s">
        <v>406</v>
      </c>
      <c r="I181" t="s">
        <v>468</v>
      </c>
      <c r="M181" s="1">
        <f>AVERAGE(J181:L181)</f>
        <v>0</v>
      </c>
      <c r="N181" s="1">
        <f>M181</f>
        <v>0</v>
      </c>
      <c r="P181" s="3">
        <f>IF(OR(H181="O", NOT(ISNUMBER(M181))), "", IF(COUNTIFS(C$2:C$999, C181, H$2:H$999, H181, M$2:M$999, "&lt;"&amp;M181)+1=1, 9, IF(COUNTIFS(C$2:C$999, C181, H$2:H$999, H181, M$2:M$999, "&lt;"&amp;M181)+1&lt;=8, 10-(COUNTIFS(C$2:C$999, C181, H$2:H$999, H181, M$2:M$999, "&lt;"&amp;M181)+1)-1, "")))</f>
        <v>0</v>
      </c>
      <c r="Q181" s="3">
        <f>IF(AND(N181&lt;&gt;"", O181&lt;&gt;""), 1, "")</f>
        <v>0</v>
      </c>
    </row>
    <row r="182" spans="1:17">
      <c r="A182">
        <v>181</v>
      </c>
      <c r="B182" t="s">
        <v>26</v>
      </c>
      <c r="C182" t="s">
        <v>50</v>
      </c>
      <c r="D182" t="s">
        <v>66</v>
      </c>
      <c r="E182" t="s">
        <v>77</v>
      </c>
      <c r="F182" t="s">
        <v>225</v>
      </c>
      <c r="G182" t="s">
        <v>390</v>
      </c>
      <c r="H182" t="s">
        <v>406</v>
      </c>
      <c r="I182" t="s">
        <v>552</v>
      </c>
      <c r="M182" s="1">
        <f>AVERAGE(J182:L182)</f>
        <v>0</v>
      </c>
      <c r="N182" s="1">
        <f>M182</f>
        <v>0</v>
      </c>
      <c r="P182" s="3">
        <f>IF(OR(H182="O", NOT(ISNUMBER(M182))), "", IF(COUNTIFS(C$2:C$999, C182, H$2:H$999, H182, M$2:M$999, "&lt;"&amp;M182)+1=1, 9, IF(COUNTIFS(C$2:C$999, C182, H$2:H$999, H182, M$2:M$999, "&lt;"&amp;M182)+1&lt;=8, 10-(COUNTIFS(C$2:C$999, C182, H$2:H$999, H182, M$2:M$999, "&lt;"&amp;M182)+1)-1, "")))</f>
        <v>0</v>
      </c>
      <c r="Q182" s="3">
        <f>IF(AND(N182&lt;&gt;"", O182&lt;&gt;""), 1, "")</f>
        <v>0</v>
      </c>
    </row>
    <row r="183" spans="1:17">
      <c r="A183">
        <v>182</v>
      </c>
      <c r="B183" t="s">
        <v>26</v>
      </c>
      <c r="C183" t="s">
        <v>50</v>
      </c>
      <c r="D183" t="s">
        <v>66</v>
      </c>
      <c r="E183" t="s">
        <v>78</v>
      </c>
      <c r="F183" t="s">
        <v>226</v>
      </c>
      <c r="G183" t="s">
        <v>398</v>
      </c>
      <c r="H183" t="s">
        <v>406</v>
      </c>
      <c r="I183" t="s">
        <v>553</v>
      </c>
      <c r="M183" s="1">
        <f>AVERAGE(J183:L183)</f>
        <v>0</v>
      </c>
      <c r="N183" s="1">
        <f>M183</f>
        <v>0</v>
      </c>
      <c r="P183" s="3">
        <f>IF(OR(H183="O", NOT(ISNUMBER(M183))), "", IF(COUNTIFS(C$2:C$999, C183, H$2:H$999, H183, M$2:M$999, "&lt;"&amp;M183)+1=1, 9, IF(COUNTIFS(C$2:C$999, C183, H$2:H$999, H183, M$2:M$999, "&lt;"&amp;M183)+1&lt;=8, 10-(COUNTIFS(C$2:C$999, C183, H$2:H$999, H183, M$2:M$999, "&lt;"&amp;M183)+1)-1, "")))</f>
        <v>0</v>
      </c>
      <c r="Q183" s="3">
        <f>IF(AND(N183&lt;&gt;"", O183&lt;&gt;""), 1, "")</f>
        <v>0</v>
      </c>
    </row>
    <row r="184" spans="1:17">
      <c r="A184">
        <v>183</v>
      </c>
      <c r="B184" t="s">
        <v>26</v>
      </c>
      <c r="C184" t="s">
        <v>50</v>
      </c>
      <c r="D184" t="s">
        <v>66</v>
      </c>
      <c r="E184" t="s">
        <v>80</v>
      </c>
      <c r="F184" t="s">
        <v>140</v>
      </c>
      <c r="G184" t="s">
        <v>396</v>
      </c>
      <c r="H184" t="s">
        <v>406</v>
      </c>
      <c r="I184" t="s">
        <v>467</v>
      </c>
      <c r="M184" s="1">
        <f>AVERAGE(J184:L184)</f>
        <v>0</v>
      </c>
      <c r="N184" s="1">
        <f>M184</f>
        <v>0</v>
      </c>
      <c r="P184" s="3">
        <f>IF(OR(H184="O", NOT(ISNUMBER(M184))), "", IF(COUNTIFS(C$2:C$999, C184, H$2:H$999, H184, M$2:M$999, "&lt;"&amp;M184)+1=1, 9, IF(COUNTIFS(C$2:C$999, C184, H$2:H$999, H184, M$2:M$999, "&lt;"&amp;M184)+1&lt;=8, 10-(COUNTIFS(C$2:C$999, C184, H$2:H$999, H184, M$2:M$999, "&lt;"&amp;M184)+1)-1, "")))</f>
        <v>0</v>
      </c>
      <c r="Q184" s="3">
        <f>IF(AND(N184&lt;&gt;"", O184&lt;&gt;""), 1, "")</f>
        <v>0</v>
      </c>
    </row>
    <row r="185" spans="1:17">
      <c r="A185">
        <v>184</v>
      </c>
      <c r="B185" t="s">
        <v>27</v>
      </c>
      <c r="C185" t="s">
        <v>51</v>
      </c>
      <c r="D185" t="s">
        <v>65</v>
      </c>
      <c r="E185" t="s">
        <v>71</v>
      </c>
      <c r="F185" t="s">
        <v>227</v>
      </c>
      <c r="G185" t="s">
        <v>390</v>
      </c>
      <c r="H185" t="s">
        <v>404</v>
      </c>
      <c r="I185" t="s">
        <v>554</v>
      </c>
      <c r="M185" s="1">
        <f>AVERAGE(J185:L185)</f>
        <v>0</v>
      </c>
      <c r="N185" s="1">
        <f>M185</f>
        <v>0</v>
      </c>
      <c r="P185" s="3">
        <f>IF(OR(H185="O", NOT(ISNUMBER(M185))), "", IF(COUNTIFS(C$2:C$999, C185, H$2:H$999, H185, M$2:M$999, "&lt;"&amp;M185)+1=1, 9, IF(COUNTIFS(C$2:C$999, C185, H$2:H$999, H185, M$2:M$999, "&lt;"&amp;M185)+1&lt;=8, 10-(COUNTIFS(C$2:C$999, C185, H$2:H$999, H185, M$2:M$999, "&lt;"&amp;M185)+1)-1, "")))</f>
        <v>0</v>
      </c>
      <c r="Q185" s="3">
        <f>IF(AND(N185&lt;&gt;"", O185&lt;&gt;""), 1, "")</f>
        <v>0</v>
      </c>
    </row>
    <row r="186" spans="1:17">
      <c r="A186">
        <v>185</v>
      </c>
      <c r="B186" t="s">
        <v>27</v>
      </c>
      <c r="C186" t="s">
        <v>51</v>
      </c>
      <c r="D186" t="s">
        <v>65</v>
      </c>
      <c r="E186" t="s">
        <v>72</v>
      </c>
      <c r="F186" t="s">
        <v>228</v>
      </c>
      <c r="G186" t="s">
        <v>391</v>
      </c>
      <c r="H186" t="s">
        <v>404</v>
      </c>
      <c r="I186" t="s">
        <v>555</v>
      </c>
      <c r="M186" s="1">
        <f>AVERAGE(J186:L186)</f>
        <v>0</v>
      </c>
      <c r="N186" s="1">
        <f>M186</f>
        <v>0</v>
      </c>
      <c r="P186" s="3">
        <f>IF(OR(H186="O", NOT(ISNUMBER(M186))), "", IF(COUNTIFS(C$2:C$999, C186, H$2:H$999, H186, M$2:M$999, "&lt;"&amp;M186)+1=1, 9, IF(COUNTIFS(C$2:C$999, C186, H$2:H$999, H186, M$2:M$999, "&lt;"&amp;M186)+1&lt;=8, 10-(COUNTIFS(C$2:C$999, C186, H$2:H$999, H186, M$2:M$999, "&lt;"&amp;M186)+1)-1, "")))</f>
        <v>0</v>
      </c>
      <c r="Q186" s="3">
        <f>IF(AND(N186&lt;&gt;"", O186&lt;&gt;""), 1, "")</f>
        <v>0</v>
      </c>
    </row>
    <row r="187" spans="1:17">
      <c r="A187">
        <v>186</v>
      </c>
      <c r="B187" t="s">
        <v>27</v>
      </c>
      <c r="C187" t="s">
        <v>51</v>
      </c>
      <c r="D187" t="s">
        <v>65</v>
      </c>
      <c r="E187" t="s">
        <v>73</v>
      </c>
      <c r="F187" t="s">
        <v>229</v>
      </c>
      <c r="G187" t="s">
        <v>391</v>
      </c>
      <c r="H187" t="s">
        <v>404</v>
      </c>
      <c r="I187" t="s">
        <v>556</v>
      </c>
      <c r="M187" s="1">
        <f>AVERAGE(J187:L187)</f>
        <v>0</v>
      </c>
      <c r="N187" s="1">
        <f>M187</f>
        <v>0</v>
      </c>
      <c r="P187" s="3">
        <f>IF(OR(H187="O", NOT(ISNUMBER(M187))), "", IF(COUNTIFS(C$2:C$999, C187, H$2:H$999, H187, M$2:M$999, "&lt;"&amp;M187)+1=1, 9, IF(COUNTIFS(C$2:C$999, C187, H$2:H$999, H187, M$2:M$999, "&lt;"&amp;M187)+1&lt;=8, 10-(COUNTIFS(C$2:C$999, C187, H$2:H$999, H187, M$2:M$999, "&lt;"&amp;M187)+1)-1, "")))</f>
        <v>0</v>
      </c>
      <c r="Q187" s="3">
        <f>IF(AND(N187&lt;&gt;"", O187&lt;&gt;""), 1, "")</f>
        <v>0</v>
      </c>
    </row>
    <row r="188" spans="1:17">
      <c r="A188">
        <v>187</v>
      </c>
      <c r="B188" t="s">
        <v>27</v>
      </c>
      <c r="C188" t="s">
        <v>51</v>
      </c>
      <c r="D188" t="s">
        <v>65</v>
      </c>
      <c r="E188" t="s">
        <v>74</v>
      </c>
      <c r="F188" t="s">
        <v>230</v>
      </c>
      <c r="G188" t="s">
        <v>393</v>
      </c>
      <c r="H188" t="s">
        <v>404</v>
      </c>
      <c r="I188" t="s">
        <v>557</v>
      </c>
      <c r="M188" s="1">
        <f>AVERAGE(J188:L188)</f>
        <v>0</v>
      </c>
      <c r="N188" s="1">
        <f>M188</f>
        <v>0</v>
      </c>
      <c r="P188" s="3">
        <f>IF(OR(H188="O", NOT(ISNUMBER(M188))), "", IF(COUNTIFS(C$2:C$999, C188, H$2:H$999, H188, M$2:M$999, "&lt;"&amp;M188)+1=1, 9, IF(COUNTIFS(C$2:C$999, C188, H$2:H$999, H188, M$2:M$999, "&lt;"&amp;M188)+1&lt;=8, 10-(COUNTIFS(C$2:C$999, C188, H$2:H$999, H188, M$2:M$999, "&lt;"&amp;M188)+1)-1, "")))</f>
        <v>0</v>
      </c>
      <c r="Q188" s="3">
        <f>IF(AND(N188&lt;&gt;"", O188&lt;&gt;""), 1, "")</f>
        <v>0</v>
      </c>
    </row>
    <row r="189" spans="1:17">
      <c r="A189">
        <v>188</v>
      </c>
      <c r="B189" t="s">
        <v>27</v>
      </c>
      <c r="C189" t="s">
        <v>51</v>
      </c>
      <c r="D189" t="s">
        <v>65</v>
      </c>
      <c r="E189" t="s">
        <v>75</v>
      </c>
      <c r="F189" t="s">
        <v>231</v>
      </c>
      <c r="G189" t="s">
        <v>393</v>
      </c>
      <c r="H189" t="s">
        <v>404</v>
      </c>
      <c r="I189" t="s">
        <v>558</v>
      </c>
      <c r="M189" s="1">
        <f>AVERAGE(J189:L189)</f>
        <v>0</v>
      </c>
      <c r="N189" s="1">
        <f>M189</f>
        <v>0</v>
      </c>
      <c r="P189" s="3">
        <f>IF(OR(H189="O", NOT(ISNUMBER(M189))), "", IF(COUNTIFS(C$2:C$999, C189, H$2:H$999, H189, M$2:M$999, "&lt;"&amp;M189)+1=1, 9, IF(COUNTIFS(C$2:C$999, C189, H$2:H$999, H189, M$2:M$999, "&lt;"&amp;M189)+1&lt;=8, 10-(COUNTIFS(C$2:C$999, C189, H$2:H$999, H189, M$2:M$999, "&lt;"&amp;M189)+1)-1, "")))</f>
        <v>0</v>
      </c>
      <c r="Q189" s="3">
        <f>IF(AND(N189&lt;&gt;"", O189&lt;&gt;""), 1, "")</f>
        <v>0</v>
      </c>
    </row>
    <row r="190" spans="1:17">
      <c r="A190">
        <v>189</v>
      </c>
      <c r="B190" t="s">
        <v>27</v>
      </c>
      <c r="C190" t="s">
        <v>51</v>
      </c>
      <c r="D190" t="s">
        <v>65</v>
      </c>
      <c r="E190" t="s">
        <v>76</v>
      </c>
      <c r="F190" t="s">
        <v>232</v>
      </c>
      <c r="G190" t="s">
        <v>392</v>
      </c>
      <c r="H190" t="s">
        <v>404</v>
      </c>
      <c r="I190" t="s">
        <v>559</v>
      </c>
      <c r="M190" s="1">
        <f>AVERAGE(J190:L190)</f>
        <v>0</v>
      </c>
      <c r="N190" s="1">
        <f>M190</f>
        <v>0</v>
      </c>
      <c r="P190" s="3">
        <f>IF(OR(H190="O", NOT(ISNUMBER(M190))), "", IF(COUNTIFS(C$2:C$999, C190, H$2:H$999, H190, M$2:M$999, "&lt;"&amp;M190)+1=1, 9, IF(COUNTIFS(C$2:C$999, C190, H$2:H$999, H190, M$2:M$999, "&lt;"&amp;M190)+1&lt;=8, 10-(COUNTIFS(C$2:C$999, C190, H$2:H$999, H190, M$2:M$999, "&lt;"&amp;M190)+1)-1, "")))</f>
        <v>0</v>
      </c>
      <c r="Q190" s="3">
        <f>IF(AND(N190&lt;&gt;"", O190&lt;&gt;""), 1, "")</f>
        <v>0</v>
      </c>
    </row>
    <row r="191" spans="1:17">
      <c r="A191">
        <v>190</v>
      </c>
      <c r="B191" t="s">
        <v>27</v>
      </c>
      <c r="C191" t="s">
        <v>51</v>
      </c>
      <c r="D191" t="s">
        <v>65</v>
      </c>
      <c r="E191" t="s">
        <v>77</v>
      </c>
      <c r="F191" t="s">
        <v>233</v>
      </c>
      <c r="G191" t="s">
        <v>394</v>
      </c>
      <c r="H191" t="s">
        <v>404</v>
      </c>
      <c r="I191" t="s">
        <v>560</v>
      </c>
      <c r="M191" s="1">
        <f>AVERAGE(J191:L191)</f>
        <v>0</v>
      </c>
      <c r="N191" s="1">
        <f>M191</f>
        <v>0</v>
      </c>
      <c r="P191" s="3">
        <f>IF(OR(H191="O", NOT(ISNUMBER(M191))), "", IF(COUNTIFS(C$2:C$999, C191, H$2:H$999, H191, M$2:M$999, "&lt;"&amp;M191)+1=1, 9, IF(COUNTIFS(C$2:C$999, C191, H$2:H$999, H191, M$2:M$999, "&lt;"&amp;M191)+1&lt;=8, 10-(COUNTIFS(C$2:C$999, C191, H$2:H$999, H191, M$2:M$999, "&lt;"&amp;M191)+1)-1, "")))</f>
        <v>0</v>
      </c>
      <c r="Q191" s="3">
        <f>IF(AND(N191&lt;&gt;"", O191&lt;&gt;""), 1, "")</f>
        <v>0</v>
      </c>
    </row>
    <row r="192" spans="1:17">
      <c r="A192">
        <v>191</v>
      </c>
      <c r="B192" t="s">
        <v>27</v>
      </c>
      <c r="C192" t="s">
        <v>51</v>
      </c>
      <c r="D192" t="s">
        <v>65</v>
      </c>
      <c r="E192" t="s">
        <v>78</v>
      </c>
      <c r="F192" t="s">
        <v>234</v>
      </c>
      <c r="G192" t="s">
        <v>394</v>
      </c>
      <c r="H192" t="s">
        <v>404</v>
      </c>
      <c r="I192" t="s">
        <v>561</v>
      </c>
      <c r="M192" s="1">
        <f>AVERAGE(J192:L192)</f>
        <v>0</v>
      </c>
      <c r="N192" s="1">
        <f>M192</f>
        <v>0</v>
      </c>
      <c r="P192" s="3">
        <f>IF(OR(H192="O", NOT(ISNUMBER(M192))), "", IF(COUNTIFS(C$2:C$999, C192, H$2:H$999, H192, M$2:M$999, "&lt;"&amp;M192)+1=1, 9, IF(COUNTIFS(C$2:C$999, C192, H$2:H$999, H192, M$2:M$999, "&lt;"&amp;M192)+1&lt;=8, 10-(COUNTIFS(C$2:C$999, C192, H$2:H$999, H192, M$2:M$999, "&lt;"&amp;M192)+1)-1, "")))</f>
        <v>0</v>
      </c>
      <c r="Q192" s="3">
        <f>IF(AND(N192&lt;&gt;"", O192&lt;&gt;""), 1, "")</f>
        <v>0</v>
      </c>
    </row>
    <row r="193" spans="1:17">
      <c r="A193">
        <v>192</v>
      </c>
      <c r="B193" t="s">
        <v>27</v>
      </c>
      <c r="C193" t="s">
        <v>51</v>
      </c>
      <c r="D193" t="s">
        <v>66</v>
      </c>
      <c r="E193" t="s">
        <v>71</v>
      </c>
      <c r="F193" t="s">
        <v>235</v>
      </c>
      <c r="G193" t="s">
        <v>396</v>
      </c>
      <c r="H193" t="s">
        <v>404</v>
      </c>
      <c r="I193" t="s">
        <v>562</v>
      </c>
      <c r="M193" s="1">
        <f>AVERAGE(J193:L193)</f>
        <v>0</v>
      </c>
      <c r="N193" s="1">
        <f>M193</f>
        <v>0</v>
      </c>
      <c r="P193" s="3">
        <f>IF(OR(H193="O", NOT(ISNUMBER(M193))), "", IF(COUNTIFS(C$2:C$999, C193, H$2:H$999, H193, M$2:M$999, "&lt;"&amp;M193)+1=1, 9, IF(COUNTIFS(C$2:C$999, C193, H$2:H$999, H193, M$2:M$999, "&lt;"&amp;M193)+1&lt;=8, 10-(COUNTIFS(C$2:C$999, C193, H$2:H$999, H193, M$2:M$999, "&lt;"&amp;M193)+1)-1, "")))</f>
        <v>0</v>
      </c>
      <c r="Q193" s="3">
        <f>IF(AND(N193&lt;&gt;"", O193&lt;&gt;""), 1, "")</f>
        <v>0</v>
      </c>
    </row>
    <row r="194" spans="1:17">
      <c r="A194">
        <v>193</v>
      </c>
      <c r="B194" t="s">
        <v>27</v>
      </c>
      <c r="C194" t="s">
        <v>51</v>
      </c>
      <c r="D194" t="s">
        <v>66</v>
      </c>
      <c r="E194" t="s">
        <v>72</v>
      </c>
      <c r="F194" t="s">
        <v>236</v>
      </c>
      <c r="G194" t="s">
        <v>396</v>
      </c>
      <c r="H194" t="s">
        <v>404</v>
      </c>
      <c r="I194" t="s">
        <v>563</v>
      </c>
      <c r="M194" s="1">
        <f>AVERAGE(J194:L194)</f>
        <v>0</v>
      </c>
      <c r="N194" s="1">
        <f>M194</f>
        <v>0</v>
      </c>
      <c r="P194" s="3">
        <f>IF(OR(H194="O", NOT(ISNUMBER(M194))), "", IF(COUNTIFS(C$2:C$999, C194, H$2:H$999, H194, M$2:M$999, "&lt;"&amp;M194)+1=1, 9, IF(COUNTIFS(C$2:C$999, C194, H$2:H$999, H194, M$2:M$999, "&lt;"&amp;M194)+1&lt;=8, 10-(COUNTIFS(C$2:C$999, C194, H$2:H$999, H194, M$2:M$999, "&lt;"&amp;M194)+1)-1, "")))</f>
        <v>0</v>
      </c>
      <c r="Q194" s="3">
        <f>IF(AND(N194&lt;&gt;"", O194&lt;&gt;""), 1, "")</f>
        <v>0</v>
      </c>
    </row>
    <row r="195" spans="1:17">
      <c r="A195">
        <v>194</v>
      </c>
      <c r="B195" t="s">
        <v>27</v>
      </c>
      <c r="C195" t="s">
        <v>51</v>
      </c>
      <c r="D195" t="s">
        <v>66</v>
      </c>
      <c r="E195" t="s">
        <v>73</v>
      </c>
      <c r="F195" t="s">
        <v>237</v>
      </c>
      <c r="G195" t="s">
        <v>397</v>
      </c>
      <c r="H195" t="s">
        <v>404</v>
      </c>
      <c r="I195" t="s">
        <v>564</v>
      </c>
      <c r="M195" s="1">
        <f>AVERAGE(J195:L195)</f>
        <v>0</v>
      </c>
      <c r="N195" s="1">
        <f>M195</f>
        <v>0</v>
      </c>
      <c r="P195" s="3">
        <f>IF(OR(H195="O", NOT(ISNUMBER(M195))), "", IF(COUNTIFS(C$2:C$999, C195, H$2:H$999, H195, M$2:M$999, "&lt;"&amp;M195)+1=1, 9, IF(COUNTIFS(C$2:C$999, C195, H$2:H$999, H195, M$2:M$999, "&lt;"&amp;M195)+1&lt;=8, 10-(COUNTIFS(C$2:C$999, C195, H$2:H$999, H195, M$2:M$999, "&lt;"&amp;M195)+1)-1, "")))</f>
        <v>0</v>
      </c>
      <c r="Q195" s="3">
        <f>IF(AND(N195&lt;&gt;"", O195&lt;&gt;""), 1, "")</f>
        <v>0</v>
      </c>
    </row>
    <row r="196" spans="1:17">
      <c r="A196">
        <v>195</v>
      </c>
      <c r="B196" t="s">
        <v>27</v>
      </c>
      <c r="C196" t="s">
        <v>51</v>
      </c>
      <c r="D196" t="s">
        <v>66</v>
      </c>
      <c r="E196" t="s">
        <v>74</v>
      </c>
      <c r="F196" t="s">
        <v>238</v>
      </c>
      <c r="G196" t="s">
        <v>397</v>
      </c>
      <c r="H196" t="s">
        <v>404</v>
      </c>
      <c r="I196" t="s">
        <v>565</v>
      </c>
      <c r="M196" s="1">
        <f>AVERAGE(J196:L196)</f>
        <v>0</v>
      </c>
      <c r="N196" s="1">
        <f>M196</f>
        <v>0</v>
      </c>
      <c r="P196" s="3">
        <f>IF(OR(H196="O", NOT(ISNUMBER(M196))), "", IF(COUNTIFS(C$2:C$999, C196, H$2:H$999, H196, M$2:M$999, "&lt;"&amp;M196)+1=1, 9, IF(COUNTIFS(C$2:C$999, C196, H$2:H$999, H196, M$2:M$999, "&lt;"&amp;M196)+1&lt;=8, 10-(COUNTIFS(C$2:C$999, C196, H$2:H$999, H196, M$2:M$999, "&lt;"&amp;M196)+1)-1, "")))</f>
        <v>0</v>
      </c>
      <c r="Q196" s="3">
        <f>IF(AND(N196&lt;&gt;"", O196&lt;&gt;""), 1, "")</f>
        <v>0</v>
      </c>
    </row>
    <row r="197" spans="1:17">
      <c r="A197">
        <v>196</v>
      </c>
      <c r="B197" t="s">
        <v>27</v>
      </c>
      <c r="C197" t="s">
        <v>51</v>
      </c>
      <c r="D197" t="s">
        <v>66</v>
      </c>
      <c r="E197" t="s">
        <v>75</v>
      </c>
      <c r="F197" t="s">
        <v>239</v>
      </c>
      <c r="G197" t="s">
        <v>399</v>
      </c>
      <c r="H197" t="s">
        <v>405</v>
      </c>
      <c r="I197" t="s">
        <v>566</v>
      </c>
      <c r="M197" s="1">
        <f>AVERAGE(J197:L197)</f>
        <v>0</v>
      </c>
      <c r="N197" s="1">
        <f>M197</f>
        <v>0</v>
      </c>
      <c r="P197" s="3">
        <f>IF(OR(H197="O", NOT(ISNUMBER(M197))), "", IF(COUNTIFS(C$2:C$999, C197, H$2:H$999, H197, M$2:M$999, "&lt;"&amp;M197)+1=1, 9, IF(COUNTIFS(C$2:C$999, C197, H$2:H$999, H197, M$2:M$999, "&lt;"&amp;M197)+1&lt;=8, 10-(COUNTIFS(C$2:C$999, C197, H$2:H$999, H197, M$2:M$999, "&lt;"&amp;M197)+1)-1, "")))</f>
        <v>0</v>
      </c>
      <c r="Q197" s="3">
        <f>IF(AND(N197&lt;&gt;"", O197&lt;&gt;""), 1, "")</f>
        <v>0</v>
      </c>
    </row>
    <row r="198" spans="1:17">
      <c r="A198">
        <v>197</v>
      </c>
      <c r="B198" t="s">
        <v>27</v>
      </c>
      <c r="C198" t="s">
        <v>51</v>
      </c>
      <c r="D198" t="s">
        <v>66</v>
      </c>
      <c r="E198" t="s">
        <v>76</v>
      </c>
      <c r="F198" t="s">
        <v>240</v>
      </c>
      <c r="G198" t="s">
        <v>395</v>
      </c>
      <c r="H198" t="s">
        <v>404</v>
      </c>
      <c r="I198" t="s">
        <v>567</v>
      </c>
      <c r="M198" s="1">
        <f>AVERAGE(J198:L198)</f>
        <v>0</v>
      </c>
      <c r="N198" s="1">
        <f>M198</f>
        <v>0</v>
      </c>
      <c r="P198" s="3">
        <f>IF(OR(H198="O", NOT(ISNUMBER(M198))), "", IF(COUNTIFS(C$2:C$999, C198, H$2:H$999, H198, M$2:M$999, "&lt;"&amp;M198)+1=1, 9, IF(COUNTIFS(C$2:C$999, C198, H$2:H$999, H198, M$2:M$999, "&lt;"&amp;M198)+1&lt;=8, 10-(COUNTIFS(C$2:C$999, C198, H$2:H$999, H198, M$2:M$999, "&lt;"&amp;M198)+1)-1, "")))</f>
        <v>0</v>
      </c>
      <c r="Q198" s="3">
        <f>IF(AND(N198&lt;&gt;"", O198&lt;&gt;""), 1, "")</f>
        <v>0</v>
      </c>
    </row>
    <row r="199" spans="1:17">
      <c r="A199">
        <v>198</v>
      </c>
      <c r="B199" t="s">
        <v>27</v>
      </c>
      <c r="C199" t="s">
        <v>51</v>
      </c>
      <c r="D199" t="s">
        <v>66</v>
      </c>
      <c r="E199" t="s">
        <v>77</v>
      </c>
      <c r="F199" t="s">
        <v>241</v>
      </c>
      <c r="G199" t="s">
        <v>390</v>
      </c>
      <c r="H199" t="s">
        <v>404</v>
      </c>
      <c r="I199" t="s">
        <v>568</v>
      </c>
      <c r="M199" s="1">
        <f>AVERAGE(J199:L199)</f>
        <v>0</v>
      </c>
      <c r="N199" s="1">
        <f>M199</f>
        <v>0</v>
      </c>
      <c r="P199" s="3">
        <f>IF(OR(H199="O", NOT(ISNUMBER(M199))), "", IF(COUNTIFS(C$2:C$999, C199, H$2:H$999, H199, M$2:M$999, "&lt;"&amp;M199)+1=1, 9, IF(COUNTIFS(C$2:C$999, C199, H$2:H$999, H199, M$2:M$999, "&lt;"&amp;M199)+1&lt;=8, 10-(COUNTIFS(C$2:C$999, C199, H$2:H$999, H199, M$2:M$999, "&lt;"&amp;M199)+1)-1, "")))</f>
        <v>0</v>
      </c>
      <c r="Q199" s="3">
        <f>IF(AND(N199&lt;&gt;"", O199&lt;&gt;""), 1, "")</f>
        <v>0</v>
      </c>
    </row>
    <row r="200" spans="1:17">
      <c r="A200">
        <v>199</v>
      </c>
      <c r="B200" t="s">
        <v>27</v>
      </c>
      <c r="C200" t="s">
        <v>51</v>
      </c>
      <c r="D200" t="s">
        <v>66</v>
      </c>
      <c r="E200" t="s">
        <v>78</v>
      </c>
      <c r="F200" t="s">
        <v>242</v>
      </c>
      <c r="G200" t="s">
        <v>395</v>
      </c>
      <c r="H200" t="s">
        <v>404</v>
      </c>
      <c r="I200" t="s">
        <v>569</v>
      </c>
      <c r="M200" s="1">
        <f>AVERAGE(J200:L200)</f>
        <v>0</v>
      </c>
      <c r="N200" s="1">
        <f>M200</f>
        <v>0</v>
      </c>
      <c r="P200" s="3">
        <f>IF(OR(H200="O", NOT(ISNUMBER(M200))), "", IF(COUNTIFS(C$2:C$999, C200, H$2:H$999, H200, M$2:M$999, "&lt;"&amp;M200)+1=1, 9, IF(COUNTIFS(C$2:C$999, C200, H$2:H$999, H200, M$2:M$999, "&lt;"&amp;M200)+1&lt;=8, 10-(COUNTIFS(C$2:C$999, C200, H$2:H$999, H200, M$2:M$999, "&lt;"&amp;M200)+1)-1, "")))</f>
        <v>0</v>
      </c>
      <c r="Q200" s="3">
        <f>IF(AND(N200&lt;&gt;"", O200&lt;&gt;""), 1, "")</f>
        <v>0</v>
      </c>
    </row>
    <row r="201" spans="1:17">
      <c r="A201">
        <v>200</v>
      </c>
      <c r="B201" t="s">
        <v>27</v>
      </c>
      <c r="C201" t="s">
        <v>51</v>
      </c>
      <c r="D201" t="s">
        <v>67</v>
      </c>
      <c r="E201" t="s">
        <v>71</v>
      </c>
      <c r="F201" t="s">
        <v>243</v>
      </c>
      <c r="G201" t="s">
        <v>399</v>
      </c>
      <c r="H201" t="s">
        <v>405</v>
      </c>
      <c r="I201" t="s">
        <v>570</v>
      </c>
      <c r="M201" s="1">
        <f>AVERAGE(J201:L201)</f>
        <v>0</v>
      </c>
      <c r="N201" s="1">
        <f>M201</f>
        <v>0</v>
      </c>
      <c r="P201" s="3">
        <f>IF(OR(H201="O", NOT(ISNUMBER(M201))), "", IF(COUNTIFS(C$2:C$999, C201, H$2:H$999, H201, M$2:M$999, "&lt;"&amp;M201)+1=1, 9, IF(COUNTIFS(C$2:C$999, C201, H$2:H$999, H201, M$2:M$999, "&lt;"&amp;M201)+1&lt;=8, 10-(COUNTIFS(C$2:C$999, C201, H$2:H$999, H201, M$2:M$999, "&lt;"&amp;M201)+1)-1, "")))</f>
        <v>0</v>
      </c>
      <c r="Q201" s="3">
        <f>IF(AND(N201&lt;&gt;"", O201&lt;&gt;""), 1, "")</f>
        <v>0</v>
      </c>
    </row>
    <row r="202" spans="1:17">
      <c r="A202">
        <v>201</v>
      </c>
      <c r="B202" t="s">
        <v>27</v>
      </c>
      <c r="C202" t="s">
        <v>51</v>
      </c>
      <c r="D202" t="s">
        <v>67</v>
      </c>
      <c r="E202" t="s">
        <v>72</v>
      </c>
      <c r="F202" t="s">
        <v>244</v>
      </c>
      <c r="G202" t="s">
        <v>394</v>
      </c>
      <c r="H202" t="s">
        <v>406</v>
      </c>
      <c r="I202" t="s">
        <v>571</v>
      </c>
      <c r="M202" s="1">
        <f>AVERAGE(J202:L202)</f>
        <v>0</v>
      </c>
      <c r="N202" s="1">
        <f>M202</f>
        <v>0</v>
      </c>
      <c r="P202" s="3">
        <f>IF(OR(H202="O", NOT(ISNUMBER(M202))), "", IF(COUNTIFS(C$2:C$999, C202, H$2:H$999, H202, M$2:M$999, "&lt;"&amp;M202)+1=1, 9, IF(COUNTIFS(C$2:C$999, C202, H$2:H$999, H202, M$2:M$999, "&lt;"&amp;M202)+1&lt;=8, 10-(COUNTIFS(C$2:C$999, C202, H$2:H$999, H202, M$2:M$999, "&lt;"&amp;M202)+1)-1, "")))</f>
        <v>0</v>
      </c>
      <c r="Q202" s="3">
        <f>IF(AND(N202&lt;&gt;"", O202&lt;&gt;""), 1, "")</f>
        <v>0</v>
      </c>
    </row>
    <row r="203" spans="1:17">
      <c r="A203">
        <v>202</v>
      </c>
      <c r="B203" t="s">
        <v>27</v>
      </c>
      <c r="C203" t="s">
        <v>51</v>
      </c>
      <c r="D203" t="s">
        <v>67</v>
      </c>
      <c r="E203" t="s">
        <v>73</v>
      </c>
      <c r="F203" t="s">
        <v>245</v>
      </c>
      <c r="G203" t="s">
        <v>394</v>
      </c>
      <c r="H203" t="s">
        <v>406</v>
      </c>
      <c r="I203" t="s">
        <v>572</v>
      </c>
      <c r="M203" s="1">
        <f>AVERAGE(J203:L203)</f>
        <v>0</v>
      </c>
      <c r="N203" s="1">
        <f>M203</f>
        <v>0</v>
      </c>
      <c r="P203" s="3">
        <f>IF(OR(H203="O", NOT(ISNUMBER(M203))), "", IF(COUNTIFS(C$2:C$999, C203, H$2:H$999, H203, M$2:M$999, "&lt;"&amp;M203)+1=1, 9, IF(COUNTIFS(C$2:C$999, C203, H$2:H$999, H203, M$2:M$999, "&lt;"&amp;M203)+1&lt;=8, 10-(COUNTIFS(C$2:C$999, C203, H$2:H$999, H203, M$2:M$999, "&lt;"&amp;M203)+1)-1, "")))</f>
        <v>0</v>
      </c>
      <c r="Q203" s="3">
        <f>IF(AND(N203&lt;&gt;"", O203&lt;&gt;""), 1, "")</f>
        <v>0</v>
      </c>
    </row>
    <row r="204" spans="1:17">
      <c r="A204">
        <v>203</v>
      </c>
      <c r="B204" t="s">
        <v>27</v>
      </c>
      <c r="C204" t="s">
        <v>51</v>
      </c>
      <c r="D204" t="s">
        <v>67</v>
      </c>
      <c r="E204" t="s">
        <v>74</v>
      </c>
      <c r="F204" t="s">
        <v>246</v>
      </c>
      <c r="G204" t="s">
        <v>399</v>
      </c>
      <c r="H204" t="s">
        <v>406</v>
      </c>
      <c r="I204" t="s">
        <v>573</v>
      </c>
      <c r="M204" s="1">
        <f>AVERAGE(J204:L204)</f>
        <v>0</v>
      </c>
      <c r="N204" s="1">
        <f>M204</f>
        <v>0</v>
      </c>
      <c r="P204" s="3">
        <f>IF(OR(H204="O", NOT(ISNUMBER(M204))), "", IF(COUNTIFS(C$2:C$999, C204, H$2:H$999, H204, M$2:M$999, "&lt;"&amp;M204)+1=1, 9, IF(COUNTIFS(C$2:C$999, C204, H$2:H$999, H204, M$2:M$999, "&lt;"&amp;M204)+1&lt;=8, 10-(COUNTIFS(C$2:C$999, C204, H$2:H$999, H204, M$2:M$999, "&lt;"&amp;M204)+1)-1, "")))</f>
        <v>0</v>
      </c>
      <c r="Q204" s="3">
        <f>IF(AND(N204&lt;&gt;"", O204&lt;&gt;""), 1, "")</f>
        <v>0</v>
      </c>
    </row>
    <row r="205" spans="1:17">
      <c r="A205">
        <v>204</v>
      </c>
      <c r="B205" t="s">
        <v>27</v>
      </c>
      <c r="C205" t="s">
        <v>51</v>
      </c>
      <c r="D205" t="s">
        <v>67</v>
      </c>
      <c r="E205" t="s">
        <v>75</v>
      </c>
      <c r="F205" t="s">
        <v>247</v>
      </c>
      <c r="G205" t="s">
        <v>399</v>
      </c>
      <c r="H205" t="s">
        <v>406</v>
      </c>
      <c r="I205" t="s">
        <v>574</v>
      </c>
      <c r="M205" s="1">
        <f>AVERAGE(J205:L205)</f>
        <v>0</v>
      </c>
      <c r="N205" s="1">
        <f>M205</f>
        <v>0</v>
      </c>
      <c r="P205" s="3">
        <f>IF(OR(H205="O", NOT(ISNUMBER(M205))), "", IF(COUNTIFS(C$2:C$999, C205, H$2:H$999, H205, M$2:M$999, "&lt;"&amp;M205)+1=1, 9, IF(COUNTIFS(C$2:C$999, C205, H$2:H$999, H205, M$2:M$999, "&lt;"&amp;M205)+1&lt;=8, 10-(COUNTIFS(C$2:C$999, C205, H$2:H$999, H205, M$2:M$999, "&lt;"&amp;M205)+1)-1, "")))</f>
        <v>0</v>
      </c>
      <c r="Q205" s="3">
        <f>IF(AND(N205&lt;&gt;"", O205&lt;&gt;""), 1, "")</f>
        <v>0</v>
      </c>
    </row>
    <row r="206" spans="1:17">
      <c r="A206">
        <v>205</v>
      </c>
      <c r="B206" t="s">
        <v>27</v>
      </c>
      <c r="C206" t="s">
        <v>51</v>
      </c>
      <c r="D206" t="s">
        <v>67</v>
      </c>
      <c r="E206" t="s">
        <v>76</v>
      </c>
      <c r="F206" t="s">
        <v>248</v>
      </c>
      <c r="G206" t="s">
        <v>401</v>
      </c>
      <c r="H206" t="s">
        <v>406</v>
      </c>
      <c r="I206" t="s">
        <v>575</v>
      </c>
      <c r="M206" s="1">
        <f>AVERAGE(J206:L206)</f>
        <v>0</v>
      </c>
      <c r="N206" s="1">
        <f>M206</f>
        <v>0</v>
      </c>
      <c r="P206" s="3">
        <f>IF(OR(H206="O", NOT(ISNUMBER(M206))), "", IF(COUNTIFS(C$2:C$999, C206, H$2:H$999, H206, M$2:M$999, "&lt;"&amp;M206)+1=1, 9, IF(COUNTIFS(C$2:C$999, C206, H$2:H$999, H206, M$2:M$999, "&lt;"&amp;M206)+1&lt;=8, 10-(COUNTIFS(C$2:C$999, C206, H$2:H$999, H206, M$2:M$999, "&lt;"&amp;M206)+1)-1, "")))</f>
        <v>0</v>
      </c>
      <c r="Q206" s="3">
        <f>IF(AND(N206&lt;&gt;"", O206&lt;&gt;""), 1, "")</f>
        <v>0</v>
      </c>
    </row>
    <row r="207" spans="1:17">
      <c r="A207">
        <v>206</v>
      </c>
      <c r="B207" t="s">
        <v>27</v>
      </c>
      <c r="C207" t="s">
        <v>51</v>
      </c>
      <c r="D207" t="s">
        <v>67</v>
      </c>
      <c r="E207" t="s">
        <v>77</v>
      </c>
      <c r="F207" t="s">
        <v>249</v>
      </c>
      <c r="G207" t="s">
        <v>398</v>
      </c>
      <c r="H207" t="s">
        <v>406</v>
      </c>
      <c r="I207" t="s">
        <v>576</v>
      </c>
      <c r="M207" s="1">
        <f>AVERAGE(J207:L207)</f>
        <v>0</v>
      </c>
      <c r="N207" s="1">
        <f>M207</f>
        <v>0</v>
      </c>
      <c r="P207" s="3">
        <f>IF(OR(H207="O", NOT(ISNUMBER(M207))), "", IF(COUNTIFS(C$2:C$999, C207, H$2:H$999, H207, M$2:M$999, "&lt;"&amp;M207)+1=1, 9, IF(COUNTIFS(C$2:C$999, C207, H$2:H$999, H207, M$2:M$999, "&lt;"&amp;M207)+1&lt;=8, 10-(COUNTIFS(C$2:C$999, C207, H$2:H$999, H207, M$2:M$999, "&lt;"&amp;M207)+1)-1, "")))</f>
        <v>0</v>
      </c>
      <c r="Q207" s="3">
        <f>IF(AND(N207&lt;&gt;"", O207&lt;&gt;""), 1, "")</f>
        <v>0</v>
      </c>
    </row>
    <row r="208" spans="1:17">
      <c r="A208">
        <v>207</v>
      </c>
      <c r="B208" t="s">
        <v>27</v>
      </c>
      <c r="C208" t="s">
        <v>51</v>
      </c>
      <c r="D208" t="s">
        <v>68</v>
      </c>
      <c r="E208" t="s">
        <v>71</v>
      </c>
      <c r="F208" t="s">
        <v>250</v>
      </c>
      <c r="G208" t="s">
        <v>397</v>
      </c>
      <c r="H208" t="s">
        <v>405</v>
      </c>
      <c r="I208" t="s">
        <v>577</v>
      </c>
      <c r="M208" s="1">
        <f>AVERAGE(J208:L208)</f>
        <v>0</v>
      </c>
      <c r="N208" s="1">
        <f>M208</f>
        <v>0</v>
      </c>
      <c r="P208" s="3">
        <f>IF(OR(H208="O", NOT(ISNUMBER(M208))), "", IF(COUNTIFS(C$2:C$999, C208, H$2:H$999, H208, M$2:M$999, "&lt;"&amp;M208)+1=1, 9, IF(COUNTIFS(C$2:C$999, C208, H$2:H$999, H208, M$2:M$999, "&lt;"&amp;M208)+1&lt;=8, 10-(COUNTIFS(C$2:C$999, C208, H$2:H$999, H208, M$2:M$999, "&lt;"&amp;M208)+1)-1, "")))</f>
        <v>0</v>
      </c>
      <c r="Q208" s="3">
        <f>IF(AND(N208&lt;&gt;"", O208&lt;&gt;""), 1, "")</f>
        <v>0</v>
      </c>
    </row>
    <row r="209" spans="1:17">
      <c r="A209">
        <v>208</v>
      </c>
      <c r="B209" t="s">
        <v>27</v>
      </c>
      <c r="C209" t="s">
        <v>51</v>
      </c>
      <c r="D209" t="s">
        <v>68</v>
      </c>
      <c r="E209" t="s">
        <v>72</v>
      </c>
      <c r="F209" t="s">
        <v>251</v>
      </c>
      <c r="G209" t="s">
        <v>403</v>
      </c>
      <c r="H209" t="s">
        <v>406</v>
      </c>
      <c r="I209" t="s">
        <v>578</v>
      </c>
      <c r="M209" s="1">
        <f>AVERAGE(J209:L209)</f>
        <v>0</v>
      </c>
      <c r="N209" s="1">
        <f>M209</f>
        <v>0</v>
      </c>
      <c r="P209" s="3">
        <f>IF(OR(H209="O", NOT(ISNUMBER(M209))), "", IF(COUNTIFS(C$2:C$999, C209, H$2:H$999, H209, M$2:M$999, "&lt;"&amp;M209)+1=1, 9, IF(COUNTIFS(C$2:C$999, C209, H$2:H$999, H209, M$2:M$999, "&lt;"&amp;M209)+1&lt;=8, 10-(COUNTIFS(C$2:C$999, C209, H$2:H$999, H209, M$2:M$999, "&lt;"&amp;M209)+1)-1, "")))</f>
        <v>0</v>
      </c>
      <c r="Q209" s="3">
        <f>IF(AND(N209&lt;&gt;"", O209&lt;&gt;""), 1, "")</f>
        <v>0</v>
      </c>
    </row>
    <row r="210" spans="1:17">
      <c r="A210">
        <v>209</v>
      </c>
      <c r="B210" t="s">
        <v>27</v>
      </c>
      <c r="C210" t="s">
        <v>51</v>
      </c>
      <c r="D210" t="s">
        <v>68</v>
      </c>
      <c r="E210" t="s">
        <v>73</v>
      </c>
      <c r="F210" t="s">
        <v>252</v>
      </c>
      <c r="G210" t="s">
        <v>400</v>
      </c>
      <c r="H210" t="s">
        <v>406</v>
      </c>
      <c r="I210" t="s">
        <v>579</v>
      </c>
      <c r="M210" s="1">
        <f>AVERAGE(J210:L210)</f>
        <v>0</v>
      </c>
      <c r="N210" s="1">
        <f>M210</f>
        <v>0</v>
      </c>
      <c r="P210" s="3">
        <f>IF(OR(H210="O", NOT(ISNUMBER(M210))), "", IF(COUNTIFS(C$2:C$999, C210, H$2:H$999, H210, M$2:M$999, "&lt;"&amp;M210)+1=1, 9, IF(COUNTIFS(C$2:C$999, C210, H$2:H$999, H210, M$2:M$999, "&lt;"&amp;M210)+1&lt;=8, 10-(COUNTIFS(C$2:C$999, C210, H$2:H$999, H210, M$2:M$999, "&lt;"&amp;M210)+1)-1, "")))</f>
        <v>0</v>
      </c>
      <c r="Q210" s="3">
        <f>IF(AND(N210&lt;&gt;"", O210&lt;&gt;""), 1, "")</f>
        <v>0</v>
      </c>
    </row>
    <row r="211" spans="1:17">
      <c r="A211">
        <v>210</v>
      </c>
      <c r="B211" t="s">
        <v>27</v>
      </c>
      <c r="C211" t="s">
        <v>51</v>
      </c>
      <c r="D211" t="s">
        <v>68</v>
      </c>
      <c r="E211" t="s">
        <v>74</v>
      </c>
      <c r="F211" t="s">
        <v>253</v>
      </c>
      <c r="G211" t="s">
        <v>402</v>
      </c>
      <c r="H211" t="s">
        <v>406</v>
      </c>
      <c r="I211" t="s">
        <v>580</v>
      </c>
      <c r="M211" s="1">
        <f>AVERAGE(J211:L211)</f>
        <v>0</v>
      </c>
      <c r="N211" s="1">
        <f>M211</f>
        <v>0</v>
      </c>
      <c r="P211" s="3">
        <f>IF(OR(H211="O", NOT(ISNUMBER(M211))), "", IF(COUNTIFS(C$2:C$999, C211, H$2:H$999, H211, M$2:M$999, "&lt;"&amp;M211)+1=1, 9, IF(COUNTIFS(C$2:C$999, C211, H$2:H$999, H211, M$2:M$999, "&lt;"&amp;M211)+1&lt;=8, 10-(COUNTIFS(C$2:C$999, C211, H$2:H$999, H211, M$2:M$999, "&lt;"&amp;M211)+1)-1, "")))</f>
        <v>0</v>
      </c>
      <c r="Q211" s="3">
        <f>IF(AND(N211&lt;&gt;"", O211&lt;&gt;""), 1, "")</f>
        <v>0</v>
      </c>
    </row>
    <row r="212" spans="1:17">
      <c r="A212">
        <v>211</v>
      </c>
      <c r="B212" t="s">
        <v>27</v>
      </c>
      <c r="C212" t="s">
        <v>51</v>
      </c>
      <c r="D212" t="s">
        <v>68</v>
      </c>
      <c r="E212" t="s">
        <v>75</v>
      </c>
      <c r="F212" t="s">
        <v>254</v>
      </c>
      <c r="G212" t="s">
        <v>402</v>
      </c>
      <c r="H212" t="s">
        <v>406</v>
      </c>
      <c r="I212" t="s">
        <v>581</v>
      </c>
      <c r="M212" s="1">
        <f>AVERAGE(J212:L212)</f>
        <v>0</v>
      </c>
      <c r="N212" s="1">
        <f>M212</f>
        <v>0</v>
      </c>
      <c r="P212" s="3">
        <f>IF(OR(H212="O", NOT(ISNUMBER(M212))), "", IF(COUNTIFS(C$2:C$999, C212, H$2:H$999, H212, M$2:M$999, "&lt;"&amp;M212)+1=1, 9, IF(COUNTIFS(C$2:C$999, C212, H$2:H$999, H212, M$2:M$999, "&lt;"&amp;M212)+1&lt;=8, 10-(COUNTIFS(C$2:C$999, C212, H$2:H$999, H212, M$2:M$999, "&lt;"&amp;M212)+1)-1, "")))</f>
        <v>0</v>
      </c>
      <c r="Q212" s="3">
        <f>IF(AND(N212&lt;&gt;"", O212&lt;&gt;""), 1, "")</f>
        <v>0</v>
      </c>
    </row>
    <row r="213" spans="1:17">
      <c r="A213">
        <v>212</v>
      </c>
      <c r="B213" t="s">
        <v>27</v>
      </c>
      <c r="C213" t="s">
        <v>51</v>
      </c>
      <c r="D213" t="s">
        <v>68</v>
      </c>
      <c r="E213" t="s">
        <v>76</v>
      </c>
      <c r="F213" t="s">
        <v>255</v>
      </c>
      <c r="G213" t="s">
        <v>400</v>
      </c>
      <c r="H213" t="s">
        <v>406</v>
      </c>
      <c r="I213" t="s">
        <v>582</v>
      </c>
      <c r="M213" s="1">
        <f>AVERAGE(J213:L213)</f>
        <v>0</v>
      </c>
      <c r="N213" s="1">
        <f>M213</f>
        <v>0</v>
      </c>
      <c r="P213" s="3">
        <f>IF(OR(H213="O", NOT(ISNUMBER(M213))), "", IF(COUNTIFS(C$2:C$999, C213, H$2:H$999, H213, M$2:M$999, "&lt;"&amp;M213)+1=1, 9, IF(COUNTIFS(C$2:C$999, C213, H$2:H$999, H213, M$2:M$999, "&lt;"&amp;M213)+1&lt;=8, 10-(COUNTIFS(C$2:C$999, C213, H$2:H$999, H213, M$2:M$999, "&lt;"&amp;M213)+1)-1, "")))</f>
        <v>0</v>
      </c>
      <c r="Q213" s="3">
        <f>IF(AND(N213&lt;&gt;"", O213&lt;&gt;""), 1, "")</f>
        <v>0</v>
      </c>
    </row>
    <row r="214" spans="1:17">
      <c r="A214">
        <v>213</v>
      </c>
      <c r="B214" t="s">
        <v>27</v>
      </c>
      <c r="C214" t="s">
        <v>51</v>
      </c>
      <c r="D214" t="s">
        <v>68</v>
      </c>
      <c r="E214" t="s">
        <v>77</v>
      </c>
      <c r="F214" t="s">
        <v>256</v>
      </c>
      <c r="G214" t="s">
        <v>392</v>
      </c>
      <c r="H214" t="s">
        <v>406</v>
      </c>
      <c r="I214" t="s">
        <v>583</v>
      </c>
      <c r="M214" s="1">
        <f>AVERAGE(J214:L214)</f>
        <v>0</v>
      </c>
      <c r="N214" s="1">
        <f>M214</f>
        <v>0</v>
      </c>
      <c r="P214" s="3">
        <f>IF(OR(H214="O", NOT(ISNUMBER(M214))), "", IF(COUNTIFS(C$2:C$999, C214, H$2:H$999, H214, M$2:M$999, "&lt;"&amp;M214)+1=1, 9, IF(COUNTIFS(C$2:C$999, C214, H$2:H$999, H214, M$2:M$999, "&lt;"&amp;M214)+1&lt;=8, 10-(COUNTIFS(C$2:C$999, C214, H$2:H$999, H214, M$2:M$999, "&lt;"&amp;M214)+1)-1, "")))</f>
        <v>0</v>
      </c>
      <c r="Q214" s="3">
        <f>IF(AND(N214&lt;&gt;"", O214&lt;&gt;""), 1, "")</f>
        <v>0</v>
      </c>
    </row>
    <row r="215" spans="1:17">
      <c r="A215">
        <v>214</v>
      </c>
      <c r="B215" t="s">
        <v>28</v>
      </c>
      <c r="C215" t="s">
        <v>52</v>
      </c>
      <c r="D215" t="s">
        <v>65</v>
      </c>
      <c r="E215" t="s">
        <v>72</v>
      </c>
      <c r="F215" t="s">
        <v>257</v>
      </c>
      <c r="G215" t="s">
        <v>391</v>
      </c>
      <c r="H215" t="s">
        <v>404</v>
      </c>
      <c r="I215" t="s">
        <v>584</v>
      </c>
      <c r="M215" s="1">
        <f>AVERAGE(J215:L215)</f>
        <v>0</v>
      </c>
      <c r="N215" s="1">
        <f>M215</f>
        <v>0</v>
      </c>
      <c r="P215" s="3">
        <f>IF(OR(H215="O", NOT(ISNUMBER(M215))), "", IF(COUNTIFS(C$2:C$999, C215, H$2:H$999, H215, M$2:M$999, "&lt;"&amp;M215)+1=1, 9, IF(COUNTIFS(C$2:C$999, C215, H$2:H$999, H215, M$2:M$999, "&lt;"&amp;M215)+1&lt;=8, 10-(COUNTIFS(C$2:C$999, C215, H$2:H$999, H215, M$2:M$999, "&lt;"&amp;M215)+1)-1, "")))</f>
        <v>0</v>
      </c>
      <c r="Q215" s="3">
        <f>IF(AND(N215&lt;&gt;"", O215&lt;&gt;""), 1, "")</f>
        <v>0</v>
      </c>
    </row>
    <row r="216" spans="1:17">
      <c r="A216">
        <v>215</v>
      </c>
      <c r="B216" t="s">
        <v>28</v>
      </c>
      <c r="C216" t="s">
        <v>52</v>
      </c>
      <c r="D216" t="s">
        <v>65</v>
      </c>
      <c r="E216" t="s">
        <v>73</v>
      </c>
      <c r="F216" t="s">
        <v>258</v>
      </c>
      <c r="G216" t="s">
        <v>391</v>
      </c>
      <c r="H216" t="s">
        <v>404</v>
      </c>
      <c r="I216" t="s">
        <v>585</v>
      </c>
      <c r="M216" s="1">
        <f>AVERAGE(J216:L216)</f>
        <v>0</v>
      </c>
      <c r="N216" s="1">
        <f>M216</f>
        <v>0</v>
      </c>
      <c r="P216" s="3">
        <f>IF(OR(H216="O", NOT(ISNUMBER(M216))), "", IF(COUNTIFS(C$2:C$999, C216, H$2:H$999, H216, M$2:M$999, "&lt;"&amp;M216)+1=1, 9, IF(COUNTIFS(C$2:C$999, C216, H$2:H$999, H216, M$2:M$999, "&lt;"&amp;M216)+1&lt;=8, 10-(COUNTIFS(C$2:C$999, C216, H$2:H$999, H216, M$2:M$999, "&lt;"&amp;M216)+1)-1, "")))</f>
        <v>0</v>
      </c>
      <c r="Q216" s="3">
        <f>IF(AND(N216&lt;&gt;"", O216&lt;&gt;""), 1, "")</f>
        <v>0</v>
      </c>
    </row>
    <row r="217" spans="1:17">
      <c r="A217">
        <v>216</v>
      </c>
      <c r="B217" t="s">
        <v>28</v>
      </c>
      <c r="C217" t="s">
        <v>52</v>
      </c>
      <c r="D217" t="s">
        <v>65</v>
      </c>
      <c r="E217" t="s">
        <v>74</v>
      </c>
      <c r="F217" t="s">
        <v>259</v>
      </c>
      <c r="G217" t="s">
        <v>393</v>
      </c>
      <c r="H217" t="s">
        <v>404</v>
      </c>
      <c r="I217" t="s">
        <v>586</v>
      </c>
      <c r="M217" s="1">
        <f>AVERAGE(J217:L217)</f>
        <v>0</v>
      </c>
      <c r="N217" s="1">
        <f>M217</f>
        <v>0</v>
      </c>
      <c r="P217" s="3">
        <f>IF(OR(H217="O", NOT(ISNUMBER(M217))), "", IF(COUNTIFS(C$2:C$999, C217, H$2:H$999, H217, M$2:M$999, "&lt;"&amp;M217)+1=1, 9, IF(COUNTIFS(C$2:C$999, C217, H$2:H$999, H217, M$2:M$999, "&lt;"&amp;M217)+1&lt;=8, 10-(COUNTIFS(C$2:C$999, C217, H$2:H$999, H217, M$2:M$999, "&lt;"&amp;M217)+1)-1, "")))</f>
        <v>0</v>
      </c>
      <c r="Q217" s="3">
        <f>IF(AND(N217&lt;&gt;"", O217&lt;&gt;""), 1, "")</f>
        <v>0</v>
      </c>
    </row>
    <row r="218" spans="1:17">
      <c r="A218">
        <v>217</v>
      </c>
      <c r="B218" t="s">
        <v>28</v>
      </c>
      <c r="C218" t="s">
        <v>52</v>
      </c>
      <c r="D218" t="s">
        <v>65</v>
      </c>
      <c r="E218" t="s">
        <v>75</v>
      </c>
      <c r="F218" t="s">
        <v>260</v>
      </c>
      <c r="G218" t="s">
        <v>393</v>
      </c>
      <c r="H218" t="s">
        <v>404</v>
      </c>
      <c r="I218" t="s">
        <v>587</v>
      </c>
      <c r="M218" s="1">
        <f>AVERAGE(J218:L218)</f>
        <v>0</v>
      </c>
      <c r="N218" s="1">
        <f>M218</f>
        <v>0</v>
      </c>
      <c r="P218" s="3">
        <f>IF(OR(H218="O", NOT(ISNUMBER(M218))), "", IF(COUNTIFS(C$2:C$999, C218, H$2:H$999, H218, M$2:M$999, "&lt;"&amp;M218)+1=1, 9, IF(COUNTIFS(C$2:C$999, C218, H$2:H$999, H218, M$2:M$999, "&lt;"&amp;M218)+1&lt;=8, 10-(COUNTIFS(C$2:C$999, C218, H$2:H$999, H218, M$2:M$999, "&lt;"&amp;M218)+1)-1, "")))</f>
        <v>0</v>
      </c>
      <c r="Q218" s="3">
        <f>IF(AND(N218&lt;&gt;"", O218&lt;&gt;""), 1, "")</f>
        <v>0</v>
      </c>
    </row>
    <row r="219" spans="1:17">
      <c r="A219">
        <v>218</v>
      </c>
      <c r="B219" t="s">
        <v>28</v>
      </c>
      <c r="C219" t="s">
        <v>52</v>
      </c>
      <c r="D219" t="s">
        <v>65</v>
      </c>
      <c r="E219" t="s">
        <v>76</v>
      </c>
      <c r="F219" t="s">
        <v>261</v>
      </c>
      <c r="G219" t="s">
        <v>392</v>
      </c>
      <c r="H219" t="s">
        <v>404</v>
      </c>
      <c r="I219" t="s">
        <v>588</v>
      </c>
      <c r="M219" s="1">
        <f>AVERAGE(J219:L219)</f>
        <v>0</v>
      </c>
      <c r="N219" s="1">
        <f>M219</f>
        <v>0</v>
      </c>
      <c r="P219" s="3">
        <f>IF(OR(H219="O", NOT(ISNUMBER(M219))), "", IF(COUNTIFS(C$2:C$999, C219, H$2:H$999, H219, M$2:M$999, "&lt;"&amp;M219)+1=1, 9, IF(COUNTIFS(C$2:C$999, C219, H$2:H$999, H219, M$2:M$999, "&lt;"&amp;M219)+1&lt;=8, 10-(COUNTIFS(C$2:C$999, C219, H$2:H$999, H219, M$2:M$999, "&lt;"&amp;M219)+1)-1, "")))</f>
        <v>0</v>
      </c>
      <c r="Q219" s="3">
        <f>IF(AND(N219&lt;&gt;"", O219&lt;&gt;""), 1, "")</f>
        <v>0</v>
      </c>
    </row>
    <row r="220" spans="1:17">
      <c r="A220">
        <v>219</v>
      </c>
      <c r="B220" t="s">
        <v>28</v>
      </c>
      <c r="C220" t="s">
        <v>52</v>
      </c>
      <c r="D220" t="s">
        <v>65</v>
      </c>
      <c r="E220" t="s">
        <v>77</v>
      </c>
      <c r="F220" t="s">
        <v>262</v>
      </c>
      <c r="G220" t="s">
        <v>390</v>
      </c>
      <c r="H220" t="s">
        <v>406</v>
      </c>
      <c r="I220" t="s">
        <v>589</v>
      </c>
      <c r="M220" s="1">
        <f>AVERAGE(J220:L220)</f>
        <v>0</v>
      </c>
      <c r="N220" s="1">
        <f>M220</f>
        <v>0</v>
      </c>
      <c r="P220" s="3">
        <f>IF(OR(H220="O", NOT(ISNUMBER(M220))), "", IF(COUNTIFS(C$2:C$999, C220, H$2:H$999, H220, M$2:M$999, "&lt;"&amp;M220)+1=1, 9, IF(COUNTIFS(C$2:C$999, C220, H$2:H$999, H220, M$2:M$999, "&lt;"&amp;M220)+1&lt;=8, 10-(COUNTIFS(C$2:C$999, C220, H$2:H$999, H220, M$2:M$999, "&lt;"&amp;M220)+1)-1, "")))</f>
        <v>0</v>
      </c>
      <c r="Q220" s="3">
        <f>IF(AND(N220&lt;&gt;"", O220&lt;&gt;""), 1, "")</f>
        <v>0</v>
      </c>
    </row>
    <row r="221" spans="1:17">
      <c r="A221">
        <v>220</v>
      </c>
      <c r="B221" t="s">
        <v>28</v>
      </c>
      <c r="C221" t="s">
        <v>52</v>
      </c>
      <c r="D221" t="s">
        <v>66</v>
      </c>
      <c r="E221" t="s">
        <v>72</v>
      </c>
      <c r="F221" t="s">
        <v>263</v>
      </c>
      <c r="G221" t="s">
        <v>396</v>
      </c>
      <c r="H221" t="s">
        <v>404</v>
      </c>
      <c r="I221" t="s">
        <v>590</v>
      </c>
      <c r="M221" s="1">
        <f>AVERAGE(J221:L221)</f>
        <v>0</v>
      </c>
      <c r="N221" s="1">
        <f>M221</f>
        <v>0</v>
      </c>
      <c r="P221" s="3">
        <f>IF(OR(H221="O", NOT(ISNUMBER(M221))), "", IF(COUNTIFS(C$2:C$999, C221, H$2:H$999, H221, M$2:M$999, "&lt;"&amp;M221)+1=1, 9, IF(COUNTIFS(C$2:C$999, C221, H$2:H$999, H221, M$2:M$999, "&lt;"&amp;M221)+1&lt;=8, 10-(COUNTIFS(C$2:C$999, C221, H$2:H$999, H221, M$2:M$999, "&lt;"&amp;M221)+1)-1, "")))</f>
        <v>0</v>
      </c>
      <c r="Q221" s="3">
        <f>IF(AND(N221&lt;&gt;"", O221&lt;&gt;""), 1, "")</f>
        <v>0</v>
      </c>
    </row>
    <row r="222" spans="1:17">
      <c r="A222">
        <v>221</v>
      </c>
      <c r="B222" t="s">
        <v>28</v>
      </c>
      <c r="C222" t="s">
        <v>52</v>
      </c>
      <c r="D222" t="s">
        <v>66</v>
      </c>
      <c r="E222" t="s">
        <v>73</v>
      </c>
      <c r="F222" t="s">
        <v>264</v>
      </c>
      <c r="G222" t="s">
        <v>396</v>
      </c>
      <c r="H222" t="s">
        <v>404</v>
      </c>
      <c r="I222" t="s">
        <v>591</v>
      </c>
      <c r="M222" s="1">
        <f>AVERAGE(J222:L222)</f>
        <v>0</v>
      </c>
      <c r="N222" s="1">
        <f>M222</f>
        <v>0</v>
      </c>
      <c r="P222" s="3">
        <f>IF(OR(H222="O", NOT(ISNUMBER(M222))), "", IF(COUNTIFS(C$2:C$999, C222, H$2:H$999, H222, M$2:M$999, "&lt;"&amp;M222)+1=1, 9, IF(COUNTIFS(C$2:C$999, C222, H$2:H$999, H222, M$2:M$999, "&lt;"&amp;M222)+1&lt;=8, 10-(COUNTIFS(C$2:C$999, C222, H$2:H$999, H222, M$2:M$999, "&lt;"&amp;M222)+1)-1, "")))</f>
        <v>0</v>
      </c>
      <c r="Q222" s="3">
        <f>IF(AND(N222&lt;&gt;"", O222&lt;&gt;""), 1, "")</f>
        <v>0</v>
      </c>
    </row>
    <row r="223" spans="1:17">
      <c r="A223">
        <v>222</v>
      </c>
      <c r="B223" t="s">
        <v>28</v>
      </c>
      <c r="C223" t="s">
        <v>52</v>
      </c>
      <c r="D223" t="s">
        <v>66</v>
      </c>
      <c r="E223" t="s">
        <v>74</v>
      </c>
      <c r="F223" t="s">
        <v>265</v>
      </c>
      <c r="G223" t="s">
        <v>397</v>
      </c>
      <c r="H223" t="s">
        <v>404</v>
      </c>
      <c r="I223" t="s">
        <v>592</v>
      </c>
      <c r="M223" s="1">
        <f>AVERAGE(J223:L223)</f>
        <v>0</v>
      </c>
      <c r="N223" s="1">
        <f>M223</f>
        <v>0</v>
      </c>
      <c r="P223" s="3">
        <f>IF(OR(H223="O", NOT(ISNUMBER(M223))), "", IF(COUNTIFS(C$2:C$999, C223, H$2:H$999, H223, M$2:M$999, "&lt;"&amp;M223)+1=1, 9, IF(COUNTIFS(C$2:C$999, C223, H$2:H$999, H223, M$2:M$999, "&lt;"&amp;M223)+1&lt;=8, 10-(COUNTIFS(C$2:C$999, C223, H$2:H$999, H223, M$2:M$999, "&lt;"&amp;M223)+1)-1, "")))</f>
        <v>0</v>
      </c>
      <c r="Q223" s="3">
        <f>IF(AND(N223&lt;&gt;"", O223&lt;&gt;""), 1, "")</f>
        <v>0</v>
      </c>
    </row>
    <row r="224" spans="1:17">
      <c r="A224">
        <v>223</v>
      </c>
      <c r="B224" t="s">
        <v>28</v>
      </c>
      <c r="C224" t="s">
        <v>52</v>
      </c>
      <c r="D224" t="s">
        <v>66</v>
      </c>
      <c r="E224" t="s">
        <v>75</v>
      </c>
      <c r="F224" t="s">
        <v>266</v>
      </c>
      <c r="G224" t="s">
        <v>397</v>
      </c>
      <c r="H224" t="s">
        <v>404</v>
      </c>
      <c r="I224" t="s">
        <v>593</v>
      </c>
      <c r="M224" s="1">
        <f>AVERAGE(J224:L224)</f>
        <v>0</v>
      </c>
      <c r="N224" s="1">
        <f>M224</f>
        <v>0</v>
      </c>
      <c r="P224" s="3">
        <f>IF(OR(H224="O", NOT(ISNUMBER(M224))), "", IF(COUNTIFS(C$2:C$999, C224, H$2:H$999, H224, M$2:M$999, "&lt;"&amp;M224)+1=1, 9, IF(COUNTIFS(C$2:C$999, C224, H$2:H$999, H224, M$2:M$999, "&lt;"&amp;M224)+1&lt;=8, 10-(COUNTIFS(C$2:C$999, C224, H$2:H$999, H224, M$2:M$999, "&lt;"&amp;M224)+1)-1, "")))</f>
        <v>0</v>
      </c>
      <c r="Q224" s="3">
        <f>IF(AND(N224&lt;&gt;"", O224&lt;&gt;""), 1, "")</f>
        <v>0</v>
      </c>
    </row>
    <row r="225" spans="1:17">
      <c r="A225">
        <v>224</v>
      </c>
      <c r="B225" t="s">
        <v>28</v>
      </c>
      <c r="C225" t="s">
        <v>52</v>
      </c>
      <c r="D225" t="s">
        <v>66</v>
      </c>
      <c r="E225" t="s">
        <v>76</v>
      </c>
      <c r="F225" t="s">
        <v>267</v>
      </c>
      <c r="G225" t="s">
        <v>392</v>
      </c>
      <c r="H225" t="s">
        <v>404</v>
      </c>
      <c r="I225" t="s">
        <v>594</v>
      </c>
      <c r="M225" s="1">
        <f>AVERAGE(J225:L225)</f>
        <v>0</v>
      </c>
      <c r="N225" s="1">
        <f>M225</f>
        <v>0</v>
      </c>
      <c r="P225" s="3">
        <f>IF(OR(H225="O", NOT(ISNUMBER(M225))), "", IF(COUNTIFS(C$2:C$999, C225, H$2:H$999, H225, M$2:M$999, "&lt;"&amp;M225)+1=1, 9, IF(COUNTIFS(C$2:C$999, C225, H$2:H$999, H225, M$2:M$999, "&lt;"&amp;M225)+1&lt;=8, 10-(COUNTIFS(C$2:C$999, C225, H$2:H$999, H225, M$2:M$999, "&lt;"&amp;M225)+1)-1, "")))</f>
        <v>0</v>
      </c>
      <c r="Q225" s="3">
        <f>IF(AND(N225&lt;&gt;"", O225&lt;&gt;""), 1, "")</f>
        <v>0</v>
      </c>
    </row>
    <row r="226" spans="1:17">
      <c r="A226">
        <v>225</v>
      </c>
      <c r="B226" t="s">
        <v>28</v>
      </c>
      <c r="C226" t="s">
        <v>52</v>
      </c>
      <c r="D226" t="s">
        <v>66</v>
      </c>
      <c r="E226" t="s">
        <v>77</v>
      </c>
      <c r="F226" t="s">
        <v>268</v>
      </c>
      <c r="G226" t="s">
        <v>393</v>
      </c>
      <c r="H226" t="s">
        <v>405</v>
      </c>
      <c r="I226" t="s">
        <v>595</v>
      </c>
      <c r="M226" s="1">
        <f>AVERAGE(J226:L226)</f>
        <v>0</v>
      </c>
      <c r="N226" s="1">
        <f>M226</f>
        <v>0</v>
      </c>
      <c r="P226" s="3">
        <f>IF(OR(H226="O", NOT(ISNUMBER(M226))), "", IF(COUNTIFS(C$2:C$999, C226, H$2:H$999, H226, M$2:M$999, "&lt;"&amp;M226)+1=1, 9, IF(COUNTIFS(C$2:C$999, C226, H$2:H$999, H226, M$2:M$999, "&lt;"&amp;M226)+1&lt;=8, 10-(COUNTIFS(C$2:C$999, C226, H$2:H$999, H226, M$2:M$999, "&lt;"&amp;M226)+1)-1, "")))</f>
        <v>0</v>
      </c>
      <c r="Q226" s="3">
        <f>IF(AND(N226&lt;&gt;"", O226&lt;&gt;""), 1, "")</f>
        <v>0</v>
      </c>
    </row>
    <row r="227" spans="1:17">
      <c r="A227">
        <v>226</v>
      </c>
      <c r="B227" t="s">
        <v>28</v>
      </c>
      <c r="C227" t="s">
        <v>52</v>
      </c>
      <c r="D227" t="s">
        <v>67</v>
      </c>
      <c r="E227" t="s">
        <v>72</v>
      </c>
      <c r="F227" t="s">
        <v>269</v>
      </c>
      <c r="G227" t="s">
        <v>395</v>
      </c>
      <c r="H227" t="s">
        <v>404</v>
      </c>
      <c r="I227" t="s">
        <v>596</v>
      </c>
      <c r="M227" s="1">
        <f>AVERAGE(J227:L227)</f>
        <v>0</v>
      </c>
      <c r="N227" s="1">
        <f>M227</f>
        <v>0</v>
      </c>
      <c r="P227" s="3">
        <f>IF(OR(H227="O", NOT(ISNUMBER(M227))), "", IF(COUNTIFS(C$2:C$999, C227, H$2:H$999, H227, M$2:M$999, "&lt;"&amp;M227)+1=1, 9, IF(COUNTIFS(C$2:C$999, C227, H$2:H$999, H227, M$2:M$999, "&lt;"&amp;M227)+1&lt;=8, 10-(COUNTIFS(C$2:C$999, C227, H$2:H$999, H227, M$2:M$999, "&lt;"&amp;M227)+1)-1, "")))</f>
        <v>0</v>
      </c>
      <c r="Q227" s="3">
        <f>IF(AND(N227&lt;&gt;"", O227&lt;&gt;""), 1, "")</f>
        <v>0</v>
      </c>
    </row>
    <row r="228" spans="1:17">
      <c r="A228">
        <v>227</v>
      </c>
      <c r="B228" t="s">
        <v>28</v>
      </c>
      <c r="C228" t="s">
        <v>52</v>
      </c>
      <c r="D228" t="s">
        <v>67</v>
      </c>
      <c r="E228" t="s">
        <v>73</v>
      </c>
      <c r="F228" t="s">
        <v>270</v>
      </c>
      <c r="G228" t="s">
        <v>394</v>
      </c>
      <c r="H228" t="s">
        <v>404</v>
      </c>
      <c r="I228" t="s">
        <v>597</v>
      </c>
      <c r="M228" s="1">
        <f>AVERAGE(J228:L228)</f>
        <v>0</v>
      </c>
      <c r="N228" s="1">
        <f>M228</f>
        <v>0</v>
      </c>
      <c r="P228" s="3">
        <f>IF(OR(H228="O", NOT(ISNUMBER(M228))), "", IF(COUNTIFS(C$2:C$999, C228, H$2:H$999, H228, M$2:M$999, "&lt;"&amp;M228)+1=1, 9, IF(COUNTIFS(C$2:C$999, C228, H$2:H$999, H228, M$2:M$999, "&lt;"&amp;M228)+1&lt;=8, 10-(COUNTIFS(C$2:C$999, C228, H$2:H$999, H228, M$2:M$999, "&lt;"&amp;M228)+1)-1, "")))</f>
        <v>0</v>
      </c>
      <c r="Q228" s="3">
        <f>IF(AND(N228&lt;&gt;"", O228&lt;&gt;""), 1, "")</f>
        <v>0</v>
      </c>
    </row>
    <row r="229" spans="1:17">
      <c r="A229">
        <v>228</v>
      </c>
      <c r="B229" t="s">
        <v>28</v>
      </c>
      <c r="C229" t="s">
        <v>52</v>
      </c>
      <c r="D229" t="s">
        <v>67</v>
      </c>
      <c r="E229" t="s">
        <v>74</v>
      </c>
      <c r="F229" t="s">
        <v>271</v>
      </c>
      <c r="G229" t="s">
        <v>390</v>
      </c>
      <c r="H229" t="s">
        <v>404</v>
      </c>
      <c r="I229" t="s">
        <v>598</v>
      </c>
      <c r="M229" s="1">
        <f>AVERAGE(J229:L229)</f>
        <v>0</v>
      </c>
      <c r="N229" s="1">
        <f>M229</f>
        <v>0</v>
      </c>
      <c r="P229" s="3">
        <f>IF(OR(H229="O", NOT(ISNUMBER(M229))), "", IF(COUNTIFS(C$2:C$999, C229, H$2:H$999, H229, M$2:M$999, "&lt;"&amp;M229)+1=1, 9, IF(COUNTIFS(C$2:C$999, C229, H$2:H$999, H229, M$2:M$999, "&lt;"&amp;M229)+1&lt;=8, 10-(COUNTIFS(C$2:C$999, C229, H$2:H$999, H229, M$2:M$999, "&lt;"&amp;M229)+1)-1, "")))</f>
        <v>0</v>
      </c>
      <c r="Q229" s="3">
        <f>IF(AND(N229&lt;&gt;"", O229&lt;&gt;""), 1, "")</f>
        <v>0</v>
      </c>
    </row>
    <row r="230" spans="1:17">
      <c r="A230">
        <v>229</v>
      </c>
      <c r="B230" t="s">
        <v>28</v>
      </c>
      <c r="C230" t="s">
        <v>52</v>
      </c>
      <c r="D230" t="s">
        <v>67</v>
      </c>
      <c r="E230" t="s">
        <v>75</v>
      </c>
      <c r="F230" t="s">
        <v>272</v>
      </c>
      <c r="G230" t="s">
        <v>394</v>
      </c>
      <c r="H230" t="s">
        <v>404</v>
      </c>
      <c r="I230" t="s">
        <v>599</v>
      </c>
      <c r="M230" s="1">
        <f>AVERAGE(J230:L230)</f>
        <v>0</v>
      </c>
      <c r="N230" s="1">
        <f>M230</f>
        <v>0</v>
      </c>
      <c r="P230" s="3">
        <f>IF(OR(H230="O", NOT(ISNUMBER(M230))), "", IF(COUNTIFS(C$2:C$999, C230, H$2:H$999, H230, M$2:M$999, "&lt;"&amp;M230)+1=1, 9, IF(COUNTIFS(C$2:C$999, C230, H$2:H$999, H230, M$2:M$999, "&lt;"&amp;M230)+1&lt;=8, 10-(COUNTIFS(C$2:C$999, C230, H$2:H$999, H230, M$2:M$999, "&lt;"&amp;M230)+1)-1, "")))</f>
        <v>0</v>
      </c>
      <c r="Q230" s="3">
        <f>IF(AND(N230&lt;&gt;"", O230&lt;&gt;""), 1, "")</f>
        <v>0</v>
      </c>
    </row>
    <row r="231" spans="1:17">
      <c r="A231">
        <v>230</v>
      </c>
      <c r="B231" t="s">
        <v>28</v>
      </c>
      <c r="C231" t="s">
        <v>52</v>
      </c>
      <c r="D231" t="s">
        <v>67</v>
      </c>
      <c r="E231" t="s">
        <v>76</v>
      </c>
      <c r="F231" t="s">
        <v>273</v>
      </c>
      <c r="G231" t="s">
        <v>390</v>
      </c>
      <c r="H231" t="s">
        <v>404</v>
      </c>
      <c r="I231" t="s">
        <v>600</v>
      </c>
      <c r="M231" s="1">
        <f>AVERAGE(J231:L231)</f>
        <v>0</v>
      </c>
      <c r="N231" s="1">
        <f>M231</f>
        <v>0</v>
      </c>
      <c r="P231" s="3">
        <f>IF(OR(H231="O", NOT(ISNUMBER(M231))), "", IF(COUNTIFS(C$2:C$999, C231, H$2:H$999, H231, M$2:M$999, "&lt;"&amp;M231)+1=1, 9, IF(COUNTIFS(C$2:C$999, C231, H$2:H$999, H231, M$2:M$999, "&lt;"&amp;M231)+1&lt;=8, 10-(COUNTIFS(C$2:C$999, C231, H$2:H$999, H231, M$2:M$999, "&lt;"&amp;M231)+1)-1, "")))</f>
        <v>0</v>
      </c>
      <c r="Q231" s="3">
        <f>IF(AND(N231&lt;&gt;"", O231&lt;&gt;""), 1, "")</f>
        <v>0</v>
      </c>
    </row>
    <row r="232" spans="1:17">
      <c r="A232">
        <v>231</v>
      </c>
      <c r="B232" t="s">
        <v>28</v>
      </c>
      <c r="C232" t="s">
        <v>52</v>
      </c>
      <c r="D232" t="s">
        <v>67</v>
      </c>
      <c r="E232" t="s">
        <v>77</v>
      </c>
      <c r="F232" t="s">
        <v>274</v>
      </c>
      <c r="G232" t="s">
        <v>395</v>
      </c>
      <c r="H232" t="s">
        <v>404</v>
      </c>
      <c r="I232" t="s">
        <v>601</v>
      </c>
      <c r="M232" s="1">
        <f>AVERAGE(J232:L232)</f>
        <v>0</v>
      </c>
      <c r="N232" s="1">
        <f>M232</f>
        <v>0</v>
      </c>
      <c r="P232" s="3">
        <f>IF(OR(H232="O", NOT(ISNUMBER(M232))), "", IF(COUNTIFS(C$2:C$999, C232, H$2:H$999, H232, M$2:M$999, "&lt;"&amp;M232)+1=1, 9, IF(COUNTIFS(C$2:C$999, C232, H$2:H$999, H232, M$2:M$999, "&lt;"&amp;M232)+1&lt;=8, 10-(COUNTIFS(C$2:C$999, C232, H$2:H$999, H232, M$2:M$999, "&lt;"&amp;M232)+1)-1, "")))</f>
        <v>0</v>
      </c>
      <c r="Q232" s="3">
        <f>IF(AND(N232&lt;&gt;"", O232&lt;&gt;""), 1, "")</f>
        <v>0</v>
      </c>
    </row>
    <row r="233" spans="1:17">
      <c r="A233">
        <v>232</v>
      </c>
      <c r="B233" t="s">
        <v>28</v>
      </c>
      <c r="C233" t="s">
        <v>52</v>
      </c>
      <c r="D233" t="s">
        <v>68</v>
      </c>
      <c r="E233" t="s">
        <v>71</v>
      </c>
      <c r="F233" t="s">
        <v>275</v>
      </c>
      <c r="G233" t="s">
        <v>393</v>
      </c>
      <c r="H233" t="s">
        <v>405</v>
      </c>
      <c r="I233" t="s">
        <v>602</v>
      </c>
      <c r="M233" s="1">
        <f>AVERAGE(J233:L233)</f>
        <v>0</v>
      </c>
      <c r="N233" s="1">
        <f>M233</f>
        <v>0</v>
      </c>
      <c r="P233" s="3">
        <f>IF(OR(H233="O", NOT(ISNUMBER(M233))), "", IF(COUNTIFS(C$2:C$999, C233, H$2:H$999, H233, M$2:M$999, "&lt;"&amp;M233)+1=1, 9, IF(COUNTIFS(C$2:C$999, C233, H$2:H$999, H233, M$2:M$999, "&lt;"&amp;M233)+1&lt;=8, 10-(COUNTIFS(C$2:C$999, C233, H$2:H$999, H233, M$2:M$999, "&lt;"&amp;M233)+1)-1, "")))</f>
        <v>0</v>
      </c>
      <c r="Q233" s="3">
        <f>IF(AND(N233&lt;&gt;"", O233&lt;&gt;""), 1, "")</f>
        <v>0</v>
      </c>
    </row>
    <row r="234" spans="1:17">
      <c r="A234">
        <v>233</v>
      </c>
      <c r="B234" t="s">
        <v>28</v>
      </c>
      <c r="C234" t="s">
        <v>52</v>
      </c>
      <c r="D234" t="s">
        <v>68</v>
      </c>
      <c r="E234" t="s">
        <v>72</v>
      </c>
      <c r="F234" t="s">
        <v>276</v>
      </c>
      <c r="G234" t="s">
        <v>403</v>
      </c>
      <c r="H234" t="s">
        <v>406</v>
      </c>
      <c r="I234" t="s">
        <v>603</v>
      </c>
      <c r="M234" s="1">
        <f>AVERAGE(J234:L234)</f>
        <v>0</v>
      </c>
      <c r="N234" s="1">
        <f>M234</f>
        <v>0</v>
      </c>
      <c r="P234" s="3">
        <f>IF(OR(H234="O", NOT(ISNUMBER(M234))), "", IF(COUNTIFS(C$2:C$999, C234, H$2:H$999, H234, M$2:M$999, "&lt;"&amp;M234)+1=1, 9, IF(COUNTIFS(C$2:C$999, C234, H$2:H$999, H234, M$2:M$999, "&lt;"&amp;M234)+1&lt;=8, 10-(COUNTIFS(C$2:C$999, C234, H$2:H$999, H234, M$2:M$999, "&lt;"&amp;M234)+1)-1, "")))</f>
        <v>0</v>
      </c>
      <c r="Q234" s="3">
        <f>IF(AND(N234&lt;&gt;"", O234&lt;&gt;""), 1, "")</f>
        <v>0</v>
      </c>
    </row>
    <row r="235" spans="1:17">
      <c r="A235">
        <v>234</v>
      </c>
      <c r="B235" t="s">
        <v>28</v>
      </c>
      <c r="C235" t="s">
        <v>52</v>
      </c>
      <c r="D235" t="s">
        <v>68</v>
      </c>
      <c r="E235" t="s">
        <v>73</v>
      </c>
      <c r="F235" t="s">
        <v>277</v>
      </c>
      <c r="G235" t="s">
        <v>390</v>
      </c>
      <c r="H235" t="s">
        <v>406</v>
      </c>
      <c r="I235" t="s">
        <v>604</v>
      </c>
      <c r="M235" s="1">
        <f>AVERAGE(J235:L235)</f>
        <v>0</v>
      </c>
      <c r="N235" s="1">
        <f>M235</f>
        <v>0</v>
      </c>
      <c r="P235" s="3">
        <f>IF(OR(H235="O", NOT(ISNUMBER(M235))), "", IF(COUNTIFS(C$2:C$999, C235, H$2:H$999, H235, M$2:M$999, "&lt;"&amp;M235)+1=1, 9, IF(COUNTIFS(C$2:C$999, C235, H$2:H$999, H235, M$2:M$999, "&lt;"&amp;M235)+1&lt;=8, 10-(COUNTIFS(C$2:C$999, C235, H$2:H$999, H235, M$2:M$999, "&lt;"&amp;M235)+1)-1, "")))</f>
        <v>0</v>
      </c>
      <c r="Q235" s="3">
        <f>IF(AND(N235&lt;&gt;"", O235&lt;&gt;""), 1, "")</f>
        <v>0</v>
      </c>
    </row>
    <row r="236" spans="1:17">
      <c r="A236">
        <v>235</v>
      </c>
      <c r="B236" t="s">
        <v>28</v>
      </c>
      <c r="C236" t="s">
        <v>52</v>
      </c>
      <c r="D236" t="s">
        <v>68</v>
      </c>
      <c r="E236" t="s">
        <v>74</v>
      </c>
      <c r="F236" t="s">
        <v>278</v>
      </c>
      <c r="G236" t="s">
        <v>391</v>
      </c>
      <c r="H236" t="s">
        <v>406</v>
      </c>
      <c r="I236" t="s">
        <v>605</v>
      </c>
      <c r="M236" s="1">
        <f>AVERAGE(J236:L236)</f>
        <v>0</v>
      </c>
      <c r="N236" s="1">
        <f>M236</f>
        <v>0</v>
      </c>
      <c r="P236" s="3">
        <f>IF(OR(H236="O", NOT(ISNUMBER(M236))), "", IF(COUNTIFS(C$2:C$999, C236, H$2:H$999, H236, M$2:M$999, "&lt;"&amp;M236)+1=1, 9, IF(COUNTIFS(C$2:C$999, C236, H$2:H$999, H236, M$2:M$999, "&lt;"&amp;M236)+1&lt;=8, 10-(COUNTIFS(C$2:C$999, C236, H$2:H$999, H236, M$2:M$999, "&lt;"&amp;M236)+1)-1, "")))</f>
        <v>0</v>
      </c>
      <c r="Q236" s="3">
        <f>IF(AND(N236&lt;&gt;"", O236&lt;&gt;""), 1, "")</f>
        <v>0</v>
      </c>
    </row>
    <row r="237" spans="1:17">
      <c r="A237">
        <v>236</v>
      </c>
      <c r="B237" t="s">
        <v>28</v>
      </c>
      <c r="C237" t="s">
        <v>52</v>
      </c>
      <c r="D237" t="s">
        <v>68</v>
      </c>
      <c r="E237" t="s">
        <v>75</v>
      </c>
      <c r="F237" t="s">
        <v>279</v>
      </c>
      <c r="G237" t="s">
        <v>397</v>
      </c>
      <c r="H237" t="s">
        <v>405</v>
      </c>
      <c r="I237" t="s">
        <v>606</v>
      </c>
      <c r="M237" s="1">
        <f>AVERAGE(J237:L237)</f>
        <v>0</v>
      </c>
      <c r="N237" s="1">
        <f>M237</f>
        <v>0</v>
      </c>
      <c r="P237" s="3">
        <f>IF(OR(H237="O", NOT(ISNUMBER(M237))), "", IF(COUNTIFS(C$2:C$999, C237, H$2:H$999, H237, M$2:M$999, "&lt;"&amp;M237)+1=1, 9, IF(COUNTIFS(C$2:C$999, C237, H$2:H$999, H237, M$2:M$999, "&lt;"&amp;M237)+1&lt;=8, 10-(COUNTIFS(C$2:C$999, C237, H$2:H$999, H237, M$2:M$999, "&lt;"&amp;M237)+1)-1, "")))</f>
        <v>0</v>
      </c>
      <c r="Q237" s="3">
        <f>IF(AND(N237&lt;&gt;"", O237&lt;&gt;""), 1, "")</f>
        <v>0</v>
      </c>
    </row>
    <row r="238" spans="1:17">
      <c r="A238">
        <v>237</v>
      </c>
      <c r="B238" t="s">
        <v>28</v>
      </c>
      <c r="C238" t="s">
        <v>52</v>
      </c>
      <c r="D238" t="s">
        <v>68</v>
      </c>
      <c r="E238" t="s">
        <v>76</v>
      </c>
      <c r="F238" t="s">
        <v>280</v>
      </c>
      <c r="G238" t="s">
        <v>394</v>
      </c>
      <c r="H238" t="s">
        <v>405</v>
      </c>
      <c r="I238" t="s">
        <v>607</v>
      </c>
      <c r="M238" s="1">
        <f>AVERAGE(J238:L238)</f>
        <v>0</v>
      </c>
      <c r="N238" s="1">
        <f>M238</f>
        <v>0</v>
      </c>
      <c r="P238" s="3">
        <f>IF(OR(H238="O", NOT(ISNUMBER(M238))), "", IF(COUNTIFS(C$2:C$999, C238, H$2:H$999, H238, M$2:M$999, "&lt;"&amp;M238)+1=1, 9, IF(COUNTIFS(C$2:C$999, C238, H$2:H$999, H238, M$2:M$999, "&lt;"&amp;M238)+1&lt;=8, 10-(COUNTIFS(C$2:C$999, C238, H$2:H$999, H238, M$2:M$999, "&lt;"&amp;M238)+1)-1, "")))</f>
        <v>0</v>
      </c>
      <c r="Q238" s="3">
        <f>IF(AND(N238&lt;&gt;"", O238&lt;&gt;""), 1, "")</f>
        <v>0</v>
      </c>
    </row>
    <row r="239" spans="1:17">
      <c r="A239">
        <v>238</v>
      </c>
      <c r="B239" t="s">
        <v>28</v>
      </c>
      <c r="C239" t="s">
        <v>52</v>
      </c>
      <c r="D239" t="s">
        <v>68</v>
      </c>
      <c r="E239" t="s">
        <v>77</v>
      </c>
      <c r="F239" t="s">
        <v>281</v>
      </c>
      <c r="G239" t="s">
        <v>400</v>
      </c>
      <c r="H239" t="s">
        <v>406</v>
      </c>
      <c r="I239" t="s">
        <v>608</v>
      </c>
      <c r="M239" s="1">
        <f>AVERAGE(J239:L239)</f>
        <v>0</v>
      </c>
      <c r="N239" s="1">
        <f>M239</f>
        <v>0</v>
      </c>
      <c r="P239" s="3">
        <f>IF(OR(H239="O", NOT(ISNUMBER(M239))), "", IF(COUNTIFS(C$2:C$999, C239, H$2:H$999, H239, M$2:M$999, "&lt;"&amp;M239)+1=1, 9, IF(COUNTIFS(C$2:C$999, C239, H$2:H$999, H239, M$2:M$999, "&lt;"&amp;M239)+1&lt;=8, 10-(COUNTIFS(C$2:C$999, C239, H$2:H$999, H239, M$2:M$999, "&lt;"&amp;M239)+1)-1, "")))</f>
        <v>0</v>
      </c>
      <c r="Q239" s="3">
        <f>IF(AND(N239&lt;&gt;"", O239&lt;&gt;""), 1, "")</f>
        <v>0</v>
      </c>
    </row>
    <row r="240" spans="1:17">
      <c r="A240">
        <v>239</v>
      </c>
      <c r="B240" t="s">
        <v>28</v>
      </c>
      <c r="C240" t="s">
        <v>52</v>
      </c>
      <c r="D240" t="s">
        <v>69</v>
      </c>
      <c r="E240" t="s">
        <v>71</v>
      </c>
      <c r="F240" t="s">
        <v>282</v>
      </c>
      <c r="G240" t="s">
        <v>402</v>
      </c>
      <c r="H240" t="s">
        <v>406</v>
      </c>
      <c r="I240" t="s">
        <v>609</v>
      </c>
      <c r="M240" s="1">
        <f>AVERAGE(J240:L240)</f>
        <v>0</v>
      </c>
      <c r="N240" s="1">
        <f>M240</f>
        <v>0</v>
      </c>
      <c r="P240" s="3">
        <f>IF(OR(H240="O", NOT(ISNUMBER(M240))), "", IF(COUNTIFS(C$2:C$999, C240, H$2:H$999, H240, M$2:M$999, "&lt;"&amp;M240)+1=1, 9, IF(COUNTIFS(C$2:C$999, C240, H$2:H$999, H240, M$2:M$999, "&lt;"&amp;M240)+1&lt;=8, 10-(COUNTIFS(C$2:C$999, C240, H$2:H$999, H240, M$2:M$999, "&lt;"&amp;M240)+1)-1, "")))</f>
        <v>0</v>
      </c>
      <c r="Q240" s="3">
        <f>IF(AND(N240&lt;&gt;"", O240&lt;&gt;""), 1, "")</f>
        <v>0</v>
      </c>
    </row>
    <row r="241" spans="1:17">
      <c r="A241">
        <v>240</v>
      </c>
      <c r="B241" t="s">
        <v>28</v>
      </c>
      <c r="C241" t="s">
        <v>52</v>
      </c>
      <c r="D241" t="s">
        <v>69</v>
      </c>
      <c r="E241" t="s">
        <v>72</v>
      </c>
      <c r="F241" t="s">
        <v>283</v>
      </c>
      <c r="G241" t="s">
        <v>394</v>
      </c>
      <c r="H241" t="s">
        <v>406</v>
      </c>
      <c r="I241" t="s">
        <v>610</v>
      </c>
      <c r="M241" s="1">
        <f>AVERAGE(J241:L241)</f>
        <v>0</v>
      </c>
      <c r="N241" s="1">
        <f>M241</f>
        <v>0</v>
      </c>
      <c r="P241" s="3">
        <f>IF(OR(H241="O", NOT(ISNUMBER(M241))), "", IF(COUNTIFS(C$2:C$999, C241, H$2:H$999, H241, M$2:M$999, "&lt;"&amp;M241)+1=1, 9, IF(COUNTIFS(C$2:C$999, C241, H$2:H$999, H241, M$2:M$999, "&lt;"&amp;M241)+1&lt;=8, 10-(COUNTIFS(C$2:C$999, C241, H$2:H$999, H241, M$2:M$999, "&lt;"&amp;M241)+1)-1, "")))</f>
        <v>0</v>
      </c>
      <c r="Q241" s="3">
        <f>IF(AND(N241&lt;&gt;"", O241&lt;&gt;""), 1, "")</f>
        <v>0</v>
      </c>
    </row>
    <row r="242" spans="1:17">
      <c r="A242">
        <v>241</v>
      </c>
      <c r="B242" t="s">
        <v>28</v>
      </c>
      <c r="C242" t="s">
        <v>52</v>
      </c>
      <c r="D242" t="s">
        <v>69</v>
      </c>
      <c r="E242" t="s">
        <v>73</v>
      </c>
      <c r="F242" t="s">
        <v>284</v>
      </c>
      <c r="G242" t="s">
        <v>390</v>
      </c>
      <c r="H242" t="s">
        <v>405</v>
      </c>
      <c r="I242" t="s">
        <v>611</v>
      </c>
      <c r="M242" s="1">
        <f>AVERAGE(J242:L242)</f>
        <v>0</v>
      </c>
      <c r="N242" s="1">
        <f>M242</f>
        <v>0</v>
      </c>
      <c r="P242" s="3">
        <f>IF(OR(H242="O", NOT(ISNUMBER(M242))), "", IF(COUNTIFS(C$2:C$999, C242, H$2:H$999, H242, M$2:M$999, "&lt;"&amp;M242)+1=1, 9, IF(COUNTIFS(C$2:C$999, C242, H$2:H$999, H242, M$2:M$999, "&lt;"&amp;M242)+1&lt;=8, 10-(COUNTIFS(C$2:C$999, C242, H$2:H$999, H242, M$2:M$999, "&lt;"&amp;M242)+1)-1, "")))</f>
        <v>0</v>
      </c>
      <c r="Q242" s="3">
        <f>IF(AND(N242&lt;&gt;"", O242&lt;&gt;""), 1, "")</f>
        <v>0</v>
      </c>
    </row>
    <row r="243" spans="1:17">
      <c r="A243">
        <v>242</v>
      </c>
      <c r="B243" t="s">
        <v>28</v>
      </c>
      <c r="C243" t="s">
        <v>52</v>
      </c>
      <c r="D243" t="s">
        <v>69</v>
      </c>
      <c r="E243" t="s">
        <v>74</v>
      </c>
      <c r="F243" t="s">
        <v>285</v>
      </c>
      <c r="G243" t="s">
        <v>391</v>
      </c>
      <c r="H243" t="s">
        <v>406</v>
      </c>
      <c r="I243" t="s">
        <v>612</v>
      </c>
      <c r="M243" s="1">
        <f>AVERAGE(J243:L243)</f>
        <v>0</v>
      </c>
      <c r="N243" s="1">
        <f>M243</f>
        <v>0</v>
      </c>
      <c r="P243" s="3">
        <f>IF(OR(H243="O", NOT(ISNUMBER(M243))), "", IF(COUNTIFS(C$2:C$999, C243, H$2:H$999, H243, M$2:M$999, "&lt;"&amp;M243)+1=1, 9, IF(COUNTIFS(C$2:C$999, C243, H$2:H$999, H243, M$2:M$999, "&lt;"&amp;M243)+1&lt;=8, 10-(COUNTIFS(C$2:C$999, C243, H$2:H$999, H243, M$2:M$999, "&lt;"&amp;M243)+1)-1, "")))</f>
        <v>0</v>
      </c>
      <c r="Q243" s="3">
        <f>IF(AND(N243&lt;&gt;"", O243&lt;&gt;""), 1, "")</f>
        <v>0</v>
      </c>
    </row>
    <row r="244" spans="1:17">
      <c r="A244">
        <v>243</v>
      </c>
      <c r="B244" t="s">
        <v>28</v>
      </c>
      <c r="C244" t="s">
        <v>52</v>
      </c>
      <c r="D244" t="s">
        <v>69</v>
      </c>
      <c r="E244" t="s">
        <v>75</v>
      </c>
      <c r="F244" t="s">
        <v>286</v>
      </c>
      <c r="G244" t="s">
        <v>392</v>
      </c>
      <c r="H244" t="s">
        <v>406</v>
      </c>
      <c r="I244" t="s">
        <v>613</v>
      </c>
      <c r="M244" s="1">
        <f>AVERAGE(J244:L244)</f>
        <v>0</v>
      </c>
      <c r="N244" s="1">
        <f>M244</f>
        <v>0</v>
      </c>
      <c r="P244" s="3">
        <f>IF(OR(H244="O", NOT(ISNUMBER(M244))), "", IF(COUNTIFS(C$2:C$999, C244, H$2:H$999, H244, M$2:M$999, "&lt;"&amp;M244)+1=1, 9, IF(COUNTIFS(C$2:C$999, C244, H$2:H$999, H244, M$2:M$999, "&lt;"&amp;M244)+1&lt;=8, 10-(COUNTIFS(C$2:C$999, C244, H$2:H$999, H244, M$2:M$999, "&lt;"&amp;M244)+1)-1, "")))</f>
        <v>0</v>
      </c>
      <c r="Q244" s="3">
        <f>IF(AND(N244&lt;&gt;"", O244&lt;&gt;""), 1, "")</f>
        <v>0</v>
      </c>
    </row>
    <row r="245" spans="1:17">
      <c r="A245">
        <v>244</v>
      </c>
      <c r="B245" t="s">
        <v>28</v>
      </c>
      <c r="C245" t="s">
        <v>52</v>
      </c>
      <c r="D245" t="s">
        <v>69</v>
      </c>
      <c r="E245" t="s">
        <v>76</v>
      </c>
      <c r="F245" t="s">
        <v>287</v>
      </c>
      <c r="G245" t="s">
        <v>392</v>
      </c>
      <c r="H245" t="s">
        <v>406</v>
      </c>
      <c r="I245" t="s">
        <v>614</v>
      </c>
      <c r="M245" s="1">
        <f>AVERAGE(J245:L245)</f>
        <v>0</v>
      </c>
      <c r="N245" s="1">
        <f>M245</f>
        <v>0</v>
      </c>
      <c r="P245" s="3">
        <f>IF(OR(H245="O", NOT(ISNUMBER(M245))), "", IF(COUNTIFS(C$2:C$999, C245, H$2:H$999, H245, M$2:M$999, "&lt;"&amp;M245)+1=1, 9, IF(COUNTIFS(C$2:C$999, C245, H$2:H$999, H245, M$2:M$999, "&lt;"&amp;M245)+1&lt;=8, 10-(COUNTIFS(C$2:C$999, C245, H$2:H$999, H245, M$2:M$999, "&lt;"&amp;M245)+1)-1, "")))</f>
        <v>0</v>
      </c>
      <c r="Q245" s="3">
        <f>IF(AND(N245&lt;&gt;"", O245&lt;&gt;""), 1, "")</f>
        <v>0</v>
      </c>
    </row>
    <row r="246" spans="1:17">
      <c r="A246">
        <v>245</v>
      </c>
      <c r="B246" t="s">
        <v>28</v>
      </c>
      <c r="C246" t="s">
        <v>52</v>
      </c>
      <c r="D246" t="s">
        <v>69</v>
      </c>
      <c r="E246" t="s">
        <v>77</v>
      </c>
      <c r="F246" t="s">
        <v>288</v>
      </c>
      <c r="G246" t="s">
        <v>394</v>
      </c>
      <c r="H246" t="s">
        <v>406</v>
      </c>
      <c r="I246" t="s">
        <v>615</v>
      </c>
      <c r="M246" s="1">
        <f>AVERAGE(J246:L246)</f>
        <v>0</v>
      </c>
      <c r="N246" s="1">
        <f>M246</f>
        <v>0</v>
      </c>
      <c r="P246" s="3">
        <f>IF(OR(H246="O", NOT(ISNUMBER(M246))), "", IF(COUNTIFS(C$2:C$999, C246, H$2:H$999, H246, M$2:M$999, "&lt;"&amp;M246)+1=1, 9, IF(COUNTIFS(C$2:C$999, C246, H$2:H$999, H246, M$2:M$999, "&lt;"&amp;M246)+1&lt;=8, 10-(COUNTIFS(C$2:C$999, C246, H$2:H$999, H246, M$2:M$999, "&lt;"&amp;M246)+1)-1, "")))</f>
        <v>0</v>
      </c>
      <c r="Q246" s="3">
        <f>IF(AND(N246&lt;&gt;"", O246&lt;&gt;""), 1, "")</f>
        <v>0</v>
      </c>
    </row>
    <row r="247" spans="1:17">
      <c r="A247">
        <v>246</v>
      </c>
      <c r="B247" t="s">
        <v>28</v>
      </c>
      <c r="C247" t="s">
        <v>52</v>
      </c>
      <c r="D247" t="s">
        <v>70</v>
      </c>
      <c r="E247" t="s">
        <v>71</v>
      </c>
      <c r="F247" t="s">
        <v>289</v>
      </c>
      <c r="G247" t="s">
        <v>400</v>
      </c>
      <c r="H247" t="s">
        <v>406</v>
      </c>
      <c r="I247" t="s">
        <v>616</v>
      </c>
      <c r="M247" s="1">
        <f>AVERAGE(J247:L247)</f>
        <v>0</v>
      </c>
      <c r="N247" s="1">
        <f>M247</f>
        <v>0</v>
      </c>
      <c r="P247" s="3">
        <f>IF(OR(H247="O", NOT(ISNUMBER(M247))), "", IF(COUNTIFS(C$2:C$999, C247, H$2:H$999, H247, M$2:M$999, "&lt;"&amp;M247)+1=1, 9, IF(COUNTIFS(C$2:C$999, C247, H$2:H$999, H247, M$2:M$999, "&lt;"&amp;M247)+1&lt;=8, 10-(COUNTIFS(C$2:C$999, C247, H$2:H$999, H247, M$2:M$999, "&lt;"&amp;M247)+1)-1, "")))</f>
        <v>0</v>
      </c>
      <c r="Q247" s="3">
        <f>IF(AND(N247&lt;&gt;"", O247&lt;&gt;""), 1, "")</f>
        <v>0</v>
      </c>
    </row>
    <row r="248" spans="1:17">
      <c r="A248">
        <v>247</v>
      </c>
      <c r="B248" t="s">
        <v>28</v>
      </c>
      <c r="C248" t="s">
        <v>52</v>
      </c>
      <c r="D248" t="s">
        <v>70</v>
      </c>
      <c r="E248" t="s">
        <v>72</v>
      </c>
      <c r="F248" t="s">
        <v>290</v>
      </c>
      <c r="G248" t="s">
        <v>399</v>
      </c>
      <c r="H248" t="s">
        <v>406</v>
      </c>
      <c r="I248" t="s">
        <v>617</v>
      </c>
      <c r="M248" s="1">
        <f>AVERAGE(J248:L248)</f>
        <v>0</v>
      </c>
      <c r="N248" s="1">
        <f>M248</f>
        <v>0</v>
      </c>
      <c r="P248" s="3">
        <f>IF(OR(H248="O", NOT(ISNUMBER(M248))), "", IF(COUNTIFS(C$2:C$999, C248, H$2:H$999, H248, M$2:M$999, "&lt;"&amp;M248)+1=1, 9, IF(COUNTIFS(C$2:C$999, C248, H$2:H$999, H248, M$2:M$999, "&lt;"&amp;M248)+1&lt;=8, 10-(COUNTIFS(C$2:C$999, C248, H$2:H$999, H248, M$2:M$999, "&lt;"&amp;M248)+1)-1, "")))</f>
        <v>0</v>
      </c>
      <c r="Q248" s="3">
        <f>IF(AND(N248&lt;&gt;"", O248&lt;&gt;""), 1, "")</f>
        <v>0</v>
      </c>
    </row>
    <row r="249" spans="1:17">
      <c r="A249">
        <v>248</v>
      </c>
      <c r="B249" t="s">
        <v>28</v>
      </c>
      <c r="C249" t="s">
        <v>52</v>
      </c>
      <c r="D249" t="s">
        <v>70</v>
      </c>
      <c r="E249" t="s">
        <v>73</v>
      </c>
      <c r="F249" t="s">
        <v>291</v>
      </c>
      <c r="G249" t="s">
        <v>399</v>
      </c>
      <c r="H249" t="s">
        <v>406</v>
      </c>
      <c r="I249" t="s">
        <v>618</v>
      </c>
      <c r="M249" s="1">
        <f>AVERAGE(J249:L249)</f>
        <v>0</v>
      </c>
      <c r="N249" s="1">
        <f>M249</f>
        <v>0</v>
      </c>
      <c r="P249" s="3">
        <f>IF(OR(H249="O", NOT(ISNUMBER(M249))), "", IF(COUNTIFS(C$2:C$999, C249, H$2:H$999, H249, M$2:M$999, "&lt;"&amp;M249)+1=1, 9, IF(COUNTIFS(C$2:C$999, C249, H$2:H$999, H249, M$2:M$999, "&lt;"&amp;M249)+1&lt;=8, 10-(COUNTIFS(C$2:C$999, C249, H$2:H$999, H249, M$2:M$999, "&lt;"&amp;M249)+1)-1, "")))</f>
        <v>0</v>
      </c>
      <c r="Q249" s="3">
        <f>IF(AND(N249&lt;&gt;"", O249&lt;&gt;""), 1, "")</f>
        <v>0</v>
      </c>
    </row>
    <row r="250" spans="1:17">
      <c r="A250">
        <v>249</v>
      </c>
      <c r="B250" t="s">
        <v>28</v>
      </c>
      <c r="C250" t="s">
        <v>52</v>
      </c>
      <c r="D250" t="s">
        <v>70</v>
      </c>
      <c r="E250" t="s">
        <v>74</v>
      </c>
      <c r="F250" t="s">
        <v>292</v>
      </c>
      <c r="G250" t="s">
        <v>401</v>
      </c>
      <c r="H250" t="s">
        <v>406</v>
      </c>
      <c r="I250" t="s">
        <v>619</v>
      </c>
      <c r="M250" s="1">
        <f>AVERAGE(J250:L250)</f>
        <v>0</v>
      </c>
      <c r="N250" s="1">
        <f>M250</f>
        <v>0</v>
      </c>
      <c r="P250" s="3">
        <f>IF(OR(H250="O", NOT(ISNUMBER(M250))), "", IF(COUNTIFS(C$2:C$999, C250, H$2:H$999, H250, M$2:M$999, "&lt;"&amp;M250)+1=1, 9, IF(COUNTIFS(C$2:C$999, C250, H$2:H$999, H250, M$2:M$999, "&lt;"&amp;M250)+1&lt;=8, 10-(COUNTIFS(C$2:C$999, C250, H$2:H$999, H250, M$2:M$999, "&lt;"&amp;M250)+1)-1, "")))</f>
        <v>0</v>
      </c>
      <c r="Q250" s="3">
        <f>IF(AND(N250&lt;&gt;"", O250&lt;&gt;""), 1, "")</f>
        <v>0</v>
      </c>
    </row>
    <row r="251" spans="1:17">
      <c r="A251">
        <v>250</v>
      </c>
      <c r="B251" t="s">
        <v>28</v>
      </c>
      <c r="C251" t="s">
        <v>52</v>
      </c>
      <c r="D251" t="s">
        <v>70</v>
      </c>
      <c r="E251" t="s">
        <v>75</v>
      </c>
      <c r="F251" t="s">
        <v>293</v>
      </c>
      <c r="G251" t="s">
        <v>401</v>
      </c>
      <c r="H251" t="s">
        <v>406</v>
      </c>
      <c r="I251" t="s">
        <v>620</v>
      </c>
      <c r="M251" s="1">
        <f>AVERAGE(J251:L251)</f>
        <v>0</v>
      </c>
      <c r="N251" s="1">
        <f>M251</f>
        <v>0</v>
      </c>
      <c r="P251" s="3">
        <f>IF(OR(H251="O", NOT(ISNUMBER(M251))), "", IF(COUNTIFS(C$2:C$999, C251, H$2:H$999, H251, M$2:M$999, "&lt;"&amp;M251)+1=1, 9, IF(COUNTIFS(C$2:C$999, C251, H$2:H$999, H251, M$2:M$999, "&lt;"&amp;M251)+1&lt;=8, 10-(COUNTIFS(C$2:C$999, C251, H$2:H$999, H251, M$2:M$999, "&lt;"&amp;M251)+1)-1, "")))</f>
        <v>0</v>
      </c>
      <c r="Q251" s="3">
        <f>IF(AND(N251&lt;&gt;"", O251&lt;&gt;""), 1, "")</f>
        <v>0</v>
      </c>
    </row>
    <row r="252" spans="1:17">
      <c r="A252">
        <v>251</v>
      </c>
      <c r="B252" t="s">
        <v>28</v>
      </c>
      <c r="C252" t="s">
        <v>52</v>
      </c>
      <c r="D252" t="s">
        <v>70</v>
      </c>
      <c r="E252" t="s">
        <v>76</v>
      </c>
      <c r="F252" t="s">
        <v>294</v>
      </c>
      <c r="G252" t="s">
        <v>398</v>
      </c>
      <c r="H252" t="s">
        <v>406</v>
      </c>
      <c r="I252" t="s">
        <v>621</v>
      </c>
      <c r="M252" s="1">
        <f>AVERAGE(J252:L252)</f>
        <v>0</v>
      </c>
      <c r="N252" s="1">
        <f>M252</f>
        <v>0</v>
      </c>
      <c r="P252" s="3">
        <f>IF(OR(H252="O", NOT(ISNUMBER(M252))), "", IF(COUNTIFS(C$2:C$999, C252, H$2:H$999, H252, M$2:M$999, "&lt;"&amp;M252)+1=1, 9, IF(COUNTIFS(C$2:C$999, C252, H$2:H$999, H252, M$2:M$999, "&lt;"&amp;M252)+1&lt;=8, 10-(COUNTIFS(C$2:C$999, C252, H$2:H$999, H252, M$2:M$999, "&lt;"&amp;M252)+1)-1, "")))</f>
        <v>0</v>
      </c>
      <c r="Q252" s="3">
        <f>IF(AND(N252&lt;&gt;"", O252&lt;&gt;""), 1, "")</f>
        <v>0</v>
      </c>
    </row>
    <row r="253" spans="1:17">
      <c r="A253">
        <v>252</v>
      </c>
      <c r="B253" t="s">
        <v>28</v>
      </c>
      <c r="C253" t="s">
        <v>52</v>
      </c>
      <c r="D253" t="s">
        <v>70</v>
      </c>
      <c r="E253" t="s">
        <v>77</v>
      </c>
      <c r="F253" t="s">
        <v>295</v>
      </c>
      <c r="G253" t="s">
        <v>396</v>
      </c>
      <c r="H253" t="s">
        <v>406</v>
      </c>
      <c r="I253" t="s">
        <v>622</v>
      </c>
      <c r="M253" s="1">
        <f>AVERAGE(J253:L253)</f>
        <v>0</v>
      </c>
      <c r="N253" s="1">
        <f>M253</f>
        <v>0</v>
      </c>
      <c r="P253" s="3">
        <f>IF(OR(H253="O", NOT(ISNUMBER(M253))), "", IF(COUNTIFS(C$2:C$999, C253, H$2:H$999, H253, M$2:M$999, "&lt;"&amp;M253)+1=1, 9, IF(COUNTIFS(C$2:C$999, C253, H$2:H$999, H253, M$2:M$999, "&lt;"&amp;M253)+1&lt;=8, 10-(COUNTIFS(C$2:C$999, C253, H$2:H$999, H253, M$2:M$999, "&lt;"&amp;M253)+1)-1, "")))</f>
        <v>0</v>
      </c>
      <c r="Q253" s="3">
        <f>IF(AND(N253&lt;&gt;"", O253&lt;&gt;""), 1, "")</f>
        <v>0</v>
      </c>
    </row>
    <row r="254" spans="1:17">
      <c r="A254">
        <v>253</v>
      </c>
      <c r="B254" t="s">
        <v>29</v>
      </c>
      <c r="C254" t="s">
        <v>53</v>
      </c>
      <c r="D254" t="s">
        <v>65</v>
      </c>
      <c r="E254" t="s">
        <v>71</v>
      </c>
      <c r="F254" t="s">
        <v>296</v>
      </c>
      <c r="G254" t="s">
        <v>404</v>
      </c>
      <c r="H254" t="s">
        <v>390</v>
      </c>
      <c r="I254" t="s">
        <v>623</v>
      </c>
      <c r="M254" s="1">
        <f>AVERAGE(J254:L254)</f>
        <v>0</v>
      </c>
      <c r="N254" s="1">
        <f>M254</f>
        <v>0</v>
      </c>
      <c r="P254" s="3">
        <f>IF(OR(H254="O", NOT(ISNUMBER(M254))), "", IF(COUNTIFS(C$2:C$999, C254, H$2:H$999, H254, M$2:M$999, "&lt;"&amp;M254)+1=1, 9, IF(COUNTIFS(C$2:C$999, C254, H$2:H$999, H254, M$2:M$999, "&lt;"&amp;M254)+1&lt;=8, 10-(COUNTIFS(C$2:C$999, C254, H$2:H$999, H254, M$2:M$999, "&lt;"&amp;M254)+1)-1, "")))</f>
        <v>0</v>
      </c>
      <c r="Q254" s="3">
        <f>IF(AND(N254&lt;&gt;"", O254&lt;&gt;""), 1, "")</f>
        <v>0</v>
      </c>
    </row>
    <row r="255" spans="1:17">
      <c r="A255">
        <v>254</v>
      </c>
      <c r="B255" t="s">
        <v>29</v>
      </c>
      <c r="C255" t="s">
        <v>53</v>
      </c>
      <c r="D255" t="s">
        <v>65</v>
      </c>
      <c r="E255" t="s">
        <v>72</v>
      </c>
      <c r="F255" t="s">
        <v>297</v>
      </c>
      <c r="G255" t="s">
        <v>404</v>
      </c>
      <c r="H255" t="s">
        <v>391</v>
      </c>
      <c r="I255" t="s">
        <v>624</v>
      </c>
      <c r="M255" s="1">
        <f>AVERAGE(J255:L255)</f>
        <v>0</v>
      </c>
      <c r="N255" s="1">
        <f>M255</f>
        <v>0</v>
      </c>
      <c r="P255" s="3">
        <f>IF(OR(H255="O", NOT(ISNUMBER(M255))), "", IF(COUNTIFS(C$2:C$999, C255, H$2:H$999, H255, M$2:M$999, "&lt;"&amp;M255)+1=1, 9, IF(COUNTIFS(C$2:C$999, C255, H$2:H$999, H255, M$2:M$999, "&lt;"&amp;M255)+1&lt;=8, 10-(COUNTIFS(C$2:C$999, C255, H$2:H$999, H255, M$2:M$999, "&lt;"&amp;M255)+1)-1, "")))</f>
        <v>0</v>
      </c>
      <c r="Q255" s="3">
        <f>IF(AND(N255&lt;&gt;"", O255&lt;&gt;""), 1, "")</f>
        <v>0</v>
      </c>
    </row>
    <row r="256" spans="1:17">
      <c r="A256">
        <v>255</v>
      </c>
      <c r="B256" t="s">
        <v>29</v>
      </c>
      <c r="C256" t="s">
        <v>53</v>
      </c>
      <c r="D256" t="s">
        <v>65</v>
      </c>
      <c r="E256" t="s">
        <v>73</v>
      </c>
      <c r="F256" t="s">
        <v>298</v>
      </c>
      <c r="G256" t="s">
        <v>404</v>
      </c>
      <c r="H256" t="s">
        <v>393</v>
      </c>
      <c r="I256" t="s">
        <v>625</v>
      </c>
      <c r="M256" s="1">
        <f>AVERAGE(J256:L256)</f>
        <v>0</v>
      </c>
      <c r="N256" s="1">
        <f>M256</f>
        <v>0</v>
      </c>
      <c r="P256" s="3">
        <f>IF(OR(H256="O", NOT(ISNUMBER(M256))), "", IF(COUNTIFS(C$2:C$999, C256, H$2:H$999, H256, M$2:M$999, "&lt;"&amp;M256)+1=1, 9, IF(COUNTIFS(C$2:C$999, C256, H$2:H$999, H256, M$2:M$999, "&lt;"&amp;M256)+1&lt;=8, 10-(COUNTIFS(C$2:C$999, C256, H$2:H$999, H256, M$2:M$999, "&lt;"&amp;M256)+1)-1, "")))</f>
        <v>0</v>
      </c>
      <c r="Q256" s="3">
        <f>IF(AND(N256&lt;&gt;"", O256&lt;&gt;""), 1, "")</f>
        <v>0</v>
      </c>
    </row>
    <row r="257" spans="1:17">
      <c r="A257">
        <v>256</v>
      </c>
      <c r="B257" t="s">
        <v>29</v>
      </c>
      <c r="C257" t="s">
        <v>53</v>
      </c>
      <c r="D257" t="s">
        <v>65</v>
      </c>
      <c r="E257" t="s">
        <v>74</v>
      </c>
      <c r="F257" t="s">
        <v>299</v>
      </c>
      <c r="G257" t="s">
        <v>404</v>
      </c>
      <c r="H257" t="s">
        <v>392</v>
      </c>
      <c r="I257" t="s">
        <v>626</v>
      </c>
      <c r="M257" s="1">
        <f>AVERAGE(J257:L257)</f>
        <v>0</v>
      </c>
      <c r="N257" s="1">
        <f>M257</f>
        <v>0</v>
      </c>
      <c r="P257" s="3">
        <f>IF(OR(H257="O", NOT(ISNUMBER(M257))), "", IF(COUNTIFS(C$2:C$999, C257, H$2:H$999, H257, M$2:M$999, "&lt;"&amp;M257)+1=1, 9, IF(COUNTIFS(C$2:C$999, C257, H$2:H$999, H257, M$2:M$999, "&lt;"&amp;M257)+1&lt;=8, 10-(COUNTIFS(C$2:C$999, C257, H$2:H$999, H257, M$2:M$999, "&lt;"&amp;M257)+1)-1, "")))</f>
        <v>0</v>
      </c>
      <c r="Q257" s="3">
        <f>IF(AND(N257&lt;&gt;"", O257&lt;&gt;""), 1, "")</f>
        <v>0</v>
      </c>
    </row>
    <row r="258" spans="1:17">
      <c r="A258">
        <v>257</v>
      </c>
      <c r="B258" t="s">
        <v>29</v>
      </c>
      <c r="C258" t="s">
        <v>53</v>
      </c>
      <c r="D258" t="s">
        <v>65</v>
      </c>
      <c r="E258" t="s">
        <v>75</v>
      </c>
      <c r="F258" t="s">
        <v>154</v>
      </c>
      <c r="G258" t="s">
        <v>404</v>
      </c>
      <c r="H258" t="s">
        <v>394</v>
      </c>
      <c r="I258" t="s">
        <v>481</v>
      </c>
      <c r="M258" s="1">
        <f>AVERAGE(J258:L258)</f>
        <v>0</v>
      </c>
      <c r="N258" s="1">
        <f>M258</f>
        <v>0</v>
      </c>
      <c r="P258" s="3">
        <f>IF(OR(H258="O", NOT(ISNUMBER(M258))), "", IF(COUNTIFS(C$2:C$999, C258, H$2:H$999, H258, M$2:M$999, "&lt;"&amp;M258)+1=1, 9, IF(COUNTIFS(C$2:C$999, C258, H$2:H$999, H258, M$2:M$999, "&lt;"&amp;M258)+1&lt;=8, 10-(COUNTIFS(C$2:C$999, C258, H$2:H$999, H258, M$2:M$999, "&lt;"&amp;M258)+1)-1, "")))</f>
        <v>0</v>
      </c>
      <c r="Q258" s="3">
        <f>IF(AND(N258&lt;&gt;"", O258&lt;&gt;""), 1, "")</f>
        <v>0</v>
      </c>
    </row>
    <row r="259" spans="1:17">
      <c r="A259">
        <v>258</v>
      </c>
      <c r="B259" t="s">
        <v>29</v>
      </c>
      <c r="C259" t="s">
        <v>53</v>
      </c>
      <c r="D259" t="s">
        <v>65</v>
      </c>
      <c r="E259" t="s">
        <v>76</v>
      </c>
      <c r="F259" t="s">
        <v>155</v>
      </c>
      <c r="G259" t="s">
        <v>404</v>
      </c>
      <c r="H259" t="s">
        <v>395</v>
      </c>
      <c r="I259" t="s">
        <v>482</v>
      </c>
      <c r="M259" s="1">
        <f>AVERAGE(J259:L259)</f>
        <v>0</v>
      </c>
      <c r="N259" s="1">
        <f>M259</f>
        <v>0</v>
      </c>
      <c r="P259" s="3">
        <f>IF(OR(H259="O", NOT(ISNUMBER(M259))), "", IF(COUNTIFS(C$2:C$999, C259, H$2:H$999, H259, M$2:M$999, "&lt;"&amp;M259)+1=1, 9, IF(COUNTIFS(C$2:C$999, C259, H$2:H$999, H259, M$2:M$999, "&lt;"&amp;M259)+1&lt;=8, 10-(COUNTIFS(C$2:C$999, C259, H$2:H$999, H259, M$2:M$999, "&lt;"&amp;M259)+1)-1, "")))</f>
        <v>0</v>
      </c>
      <c r="Q259" s="3">
        <f>IF(AND(N259&lt;&gt;"", O259&lt;&gt;""), 1, "")</f>
        <v>0</v>
      </c>
    </row>
    <row r="260" spans="1:17">
      <c r="A260">
        <v>259</v>
      </c>
      <c r="B260" t="s">
        <v>29</v>
      </c>
      <c r="C260" t="s">
        <v>53</v>
      </c>
      <c r="D260" t="s">
        <v>65</v>
      </c>
      <c r="E260" t="s">
        <v>77</v>
      </c>
      <c r="F260" t="s">
        <v>300</v>
      </c>
      <c r="G260" t="s">
        <v>404</v>
      </c>
      <c r="H260" t="s">
        <v>396</v>
      </c>
      <c r="I260" t="s">
        <v>627</v>
      </c>
      <c r="M260" s="1">
        <f>AVERAGE(J260:L260)</f>
        <v>0</v>
      </c>
      <c r="N260" s="1">
        <f>M260</f>
        <v>0</v>
      </c>
      <c r="P260" s="3">
        <f>IF(OR(H260="O", NOT(ISNUMBER(M260))), "", IF(COUNTIFS(C$2:C$999, C260, H$2:H$999, H260, M$2:M$999, "&lt;"&amp;M260)+1=1, 9, IF(COUNTIFS(C$2:C$999, C260, H$2:H$999, H260, M$2:M$999, "&lt;"&amp;M260)+1&lt;=8, 10-(COUNTIFS(C$2:C$999, C260, H$2:H$999, H260, M$2:M$999, "&lt;"&amp;M260)+1)-1, "")))</f>
        <v>0</v>
      </c>
      <c r="Q260" s="3">
        <f>IF(AND(N260&lt;&gt;"", O260&lt;&gt;""), 1, "")</f>
        <v>0</v>
      </c>
    </row>
    <row r="261" spans="1:17">
      <c r="A261">
        <v>260</v>
      </c>
      <c r="B261" t="s">
        <v>29</v>
      </c>
      <c r="C261" t="s">
        <v>53</v>
      </c>
      <c r="D261" t="s">
        <v>66</v>
      </c>
      <c r="E261" t="s">
        <v>71</v>
      </c>
      <c r="F261" t="s">
        <v>193</v>
      </c>
      <c r="G261" t="s">
        <v>405</v>
      </c>
      <c r="H261" t="s">
        <v>399</v>
      </c>
      <c r="I261" t="s">
        <v>520</v>
      </c>
      <c r="M261" s="1">
        <f>AVERAGE(J261:L261)</f>
        <v>0</v>
      </c>
      <c r="N261" s="1">
        <f>M261</f>
        <v>0</v>
      </c>
      <c r="P261" s="3">
        <f>IF(OR(H261="O", NOT(ISNUMBER(M261))), "", IF(COUNTIFS(C$2:C$999, C261, H$2:H$999, H261, M$2:M$999, "&lt;"&amp;M261)+1=1, 9, IF(COUNTIFS(C$2:C$999, C261, H$2:H$999, H261, M$2:M$999, "&lt;"&amp;M261)+1&lt;=8, 10-(COUNTIFS(C$2:C$999, C261, H$2:H$999, H261, M$2:M$999, "&lt;"&amp;M261)+1)-1, "")))</f>
        <v>0</v>
      </c>
      <c r="Q261" s="3">
        <f>IF(AND(N261&lt;&gt;"", O261&lt;&gt;""), 1, "")</f>
        <v>0</v>
      </c>
    </row>
    <row r="262" spans="1:17">
      <c r="A262">
        <v>261</v>
      </c>
      <c r="B262" t="s">
        <v>29</v>
      </c>
      <c r="C262" t="s">
        <v>53</v>
      </c>
      <c r="D262" t="s">
        <v>66</v>
      </c>
      <c r="E262" t="s">
        <v>72</v>
      </c>
      <c r="F262" t="s">
        <v>160</v>
      </c>
      <c r="G262" t="s">
        <v>406</v>
      </c>
      <c r="H262" t="s">
        <v>392</v>
      </c>
      <c r="I262" t="s">
        <v>487</v>
      </c>
      <c r="M262" s="1">
        <f>AVERAGE(J262:L262)</f>
        <v>0</v>
      </c>
      <c r="N262" s="1">
        <f>M262</f>
        <v>0</v>
      </c>
      <c r="P262" s="3">
        <f>IF(OR(H262="O", NOT(ISNUMBER(M262))), "", IF(COUNTIFS(C$2:C$999, C262, H$2:H$999, H262, M$2:M$999, "&lt;"&amp;M262)+1=1, 9, IF(COUNTIFS(C$2:C$999, C262, H$2:H$999, H262, M$2:M$999, "&lt;"&amp;M262)+1&lt;=8, 10-(COUNTIFS(C$2:C$999, C262, H$2:H$999, H262, M$2:M$999, "&lt;"&amp;M262)+1)-1, "")))</f>
        <v>0</v>
      </c>
      <c r="Q262" s="3">
        <f>IF(AND(N262&lt;&gt;"", O262&lt;&gt;""), 1, "")</f>
        <v>0</v>
      </c>
    </row>
    <row r="263" spans="1:17">
      <c r="A263">
        <v>262</v>
      </c>
      <c r="B263" t="s">
        <v>29</v>
      </c>
      <c r="C263" t="s">
        <v>53</v>
      </c>
      <c r="D263" t="s">
        <v>66</v>
      </c>
      <c r="E263" t="s">
        <v>73</v>
      </c>
      <c r="F263" t="s">
        <v>94</v>
      </c>
      <c r="G263" t="s">
        <v>406</v>
      </c>
      <c r="H263" t="s">
        <v>401</v>
      </c>
      <c r="I263" t="s">
        <v>421</v>
      </c>
      <c r="M263" s="1">
        <f>AVERAGE(J263:L263)</f>
        <v>0</v>
      </c>
      <c r="N263" s="1">
        <f>M263</f>
        <v>0</v>
      </c>
      <c r="P263" s="3">
        <f>IF(OR(H263="O", NOT(ISNUMBER(M263))), "", IF(COUNTIFS(C$2:C$999, C263, H$2:H$999, H263, M$2:M$999, "&lt;"&amp;M263)+1=1, 9, IF(COUNTIFS(C$2:C$999, C263, H$2:H$999, H263, M$2:M$999, "&lt;"&amp;M263)+1&lt;=8, 10-(COUNTIFS(C$2:C$999, C263, H$2:H$999, H263, M$2:M$999, "&lt;"&amp;M263)+1)-1, "")))</f>
        <v>0</v>
      </c>
      <c r="Q263" s="3">
        <f>IF(AND(N263&lt;&gt;"", O263&lt;&gt;""), 1, "")</f>
        <v>0</v>
      </c>
    </row>
    <row r="264" spans="1:17">
      <c r="A264">
        <v>263</v>
      </c>
      <c r="B264" t="s">
        <v>29</v>
      </c>
      <c r="C264" t="s">
        <v>53</v>
      </c>
      <c r="D264" t="s">
        <v>66</v>
      </c>
      <c r="E264" t="s">
        <v>74</v>
      </c>
      <c r="F264" t="s">
        <v>90</v>
      </c>
      <c r="G264" t="s">
        <v>406</v>
      </c>
      <c r="H264" t="s">
        <v>398</v>
      </c>
      <c r="I264" t="s">
        <v>417</v>
      </c>
      <c r="M264" s="1">
        <f>AVERAGE(J264:L264)</f>
        <v>0</v>
      </c>
      <c r="N264" s="1">
        <f>M264</f>
        <v>0</v>
      </c>
      <c r="P264" s="3">
        <f>IF(OR(H264="O", NOT(ISNUMBER(M264))), "", IF(COUNTIFS(C$2:C$999, C264, H$2:H$999, H264, M$2:M$999, "&lt;"&amp;M264)+1=1, 9, IF(COUNTIFS(C$2:C$999, C264, H$2:H$999, H264, M$2:M$999, "&lt;"&amp;M264)+1&lt;=8, 10-(COUNTIFS(C$2:C$999, C264, H$2:H$999, H264, M$2:M$999, "&lt;"&amp;M264)+1)-1, "")))</f>
        <v>0</v>
      </c>
      <c r="Q264" s="3">
        <f>IF(AND(N264&lt;&gt;"", O264&lt;&gt;""), 1, "")</f>
        <v>0</v>
      </c>
    </row>
    <row r="265" spans="1:17">
      <c r="A265">
        <v>264</v>
      </c>
      <c r="B265" t="s">
        <v>29</v>
      </c>
      <c r="C265" t="s">
        <v>53</v>
      </c>
      <c r="D265" t="s">
        <v>66</v>
      </c>
      <c r="E265" t="s">
        <v>75</v>
      </c>
      <c r="F265" t="s">
        <v>163</v>
      </c>
      <c r="G265" t="s">
        <v>406</v>
      </c>
      <c r="H265" t="s">
        <v>399</v>
      </c>
      <c r="I265" t="s">
        <v>490</v>
      </c>
      <c r="M265" s="1">
        <f>AVERAGE(J265:L265)</f>
        <v>0</v>
      </c>
      <c r="N265" s="1">
        <f>M265</f>
        <v>0</v>
      </c>
      <c r="P265" s="3">
        <f>IF(OR(H265="O", NOT(ISNUMBER(M265))), "", IF(COUNTIFS(C$2:C$999, C265, H$2:H$999, H265, M$2:M$999, "&lt;"&amp;M265)+1=1, 9, IF(COUNTIFS(C$2:C$999, C265, H$2:H$999, H265, M$2:M$999, "&lt;"&amp;M265)+1&lt;=8, 10-(COUNTIFS(C$2:C$999, C265, H$2:H$999, H265, M$2:M$999, "&lt;"&amp;M265)+1)-1, "")))</f>
        <v>0</v>
      </c>
      <c r="Q265" s="3">
        <f>IF(AND(N265&lt;&gt;"", O265&lt;&gt;""), 1, "")</f>
        <v>0</v>
      </c>
    </row>
    <row r="266" spans="1:17">
      <c r="A266">
        <v>265</v>
      </c>
      <c r="B266" t="s">
        <v>29</v>
      </c>
      <c r="C266" t="s">
        <v>53</v>
      </c>
      <c r="D266" t="s">
        <v>66</v>
      </c>
      <c r="E266" t="s">
        <v>76</v>
      </c>
      <c r="F266" t="s">
        <v>92</v>
      </c>
      <c r="G266" t="s">
        <v>406</v>
      </c>
      <c r="H266" t="s">
        <v>400</v>
      </c>
      <c r="I266" t="s">
        <v>419</v>
      </c>
      <c r="M266" s="1">
        <f>AVERAGE(J266:L266)</f>
        <v>0</v>
      </c>
      <c r="N266" s="1">
        <f>M266</f>
        <v>0</v>
      </c>
      <c r="P266" s="3">
        <f>IF(OR(H266="O", NOT(ISNUMBER(M266))), "", IF(COUNTIFS(C$2:C$999, C266, H$2:H$999, H266, M$2:M$999, "&lt;"&amp;M266)+1=1, 9, IF(COUNTIFS(C$2:C$999, C266, H$2:H$999, H266, M$2:M$999, "&lt;"&amp;M266)+1&lt;=8, 10-(COUNTIFS(C$2:C$999, C266, H$2:H$999, H266, M$2:M$999, "&lt;"&amp;M266)+1)-1, "")))</f>
        <v>0</v>
      </c>
      <c r="Q266" s="3">
        <f>IF(AND(N266&lt;&gt;"", O266&lt;&gt;""), 1, "")</f>
        <v>0</v>
      </c>
    </row>
    <row r="267" spans="1:17">
      <c r="A267">
        <v>266</v>
      </c>
      <c r="B267" t="s">
        <v>29</v>
      </c>
      <c r="C267" t="s">
        <v>53</v>
      </c>
      <c r="D267" t="s">
        <v>66</v>
      </c>
      <c r="E267" t="s">
        <v>77</v>
      </c>
      <c r="F267" t="s">
        <v>301</v>
      </c>
      <c r="G267" t="s">
        <v>406</v>
      </c>
      <c r="H267" t="s">
        <v>394</v>
      </c>
      <c r="I267" t="s">
        <v>628</v>
      </c>
      <c r="M267" s="1">
        <f>AVERAGE(J267:L267)</f>
        <v>0</v>
      </c>
      <c r="N267" s="1">
        <f>M267</f>
        <v>0</v>
      </c>
      <c r="P267" s="3">
        <f>IF(OR(H267="O", NOT(ISNUMBER(M267))), "", IF(COUNTIFS(C$2:C$999, C267, H$2:H$999, H267, M$2:M$999, "&lt;"&amp;M267)+1=1, 9, IF(COUNTIFS(C$2:C$999, C267, H$2:H$999, H267, M$2:M$999, "&lt;"&amp;M267)+1&lt;=8, 10-(COUNTIFS(C$2:C$999, C267, H$2:H$999, H267, M$2:M$999, "&lt;"&amp;M267)+1)-1, "")))</f>
        <v>0</v>
      </c>
      <c r="Q267" s="3">
        <f>IF(AND(N267&lt;&gt;"", O267&lt;&gt;""), 1, "")</f>
        <v>0</v>
      </c>
    </row>
    <row r="268" spans="1:17">
      <c r="A268">
        <v>267</v>
      </c>
      <c r="B268" t="s">
        <v>30</v>
      </c>
      <c r="C268" t="s">
        <v>54</v>
      </c>
      <c r="D268" t="s">
        <v>65</v>
      </c>
      <c r="E268" t="s">
        <v>71</v>
      </c>
      <c r="F268" t="s">
        <v>302</v>
      </c>
      <c r="G268" t="s">
        <v>391</v>
      </c>
      <c r="H268" t="s">
        <v>404</v>
      </c>
      <c r="I268" t="s">
        <v>629</v>
      </c>
      <c r="M268" s="1">
        <f>AVERAGE(J268:L268)</f>
        <v>0</v>
      </c>
      <c r="N268" s="1">
        <f>M268</f>
        <v>0</v>
      </c>
      <c r="P268" s="3">
        <f>IF(OR(H268="O", NOT(ISNUMBER(M268))), "", IF(COUNTIFS(C$2:C$999, C268, H$2:H$999, H268, M$2:M$999, "&lt;"&amp;M268)+1=1, 9, IF(COUNTIFS(C$2:C$999, C268, H$2:H$999, H268, M$2:M$999, "&lt;"&amp;M268)+1&lt;=8, 10-(COUNTIFS(C$2:C$999, C268, H$2:H$999, H268, M$2:M$999, "&lt;"&amp;M268)+1)-1, "")))</f>
        <v>0</v>
      </c>
      <c r="Q268" s="3">
        <f>IF(AND(N268&lt;&gt;"", O268&lt;&gt;""), 1, "")</f>
        <v>0</v>
      </c>
    </row>
    <row r="269" spans="1:17">
      <c r="A269">
        <v>268</v>
      </c>
      <c r="B269" t="s">
        <v>30</v>
      </c>
      <c r="C269" t="s">
        <v>54</v>
      </c>
      <c r="D269" t="s">
        <v>65</v>
      </c>
      <c r="E269" t="s">
        <v>72</v>
      </c>
      <c r="F269" t="s">
        <v>303</v>
      </c>
      <c r="G269" t="s">
        <v>393</v>
      </c>
      <c r="H269" t="s">
        <v>404</v>
      </c>
      <c r="I269" t="s">
        <v>630</v>
      </c>
      <c r="M269" s="1">
        <f>AVERAGE(J269:L269)</f>
        <v>0</v>
      </c>
      <c r="N269" s="1">
        <f>M269</f>
        <v>0</v>
      </c>
      <c r="P269" s="3">
        <f>IF(OR(H269="O", NOT(ISNUMBER(M269))), "", IF(COUNTIFS(C$2:C$999, C269, H$2:H$999, H269, M$2:M$999, "&lt;"&amp;M269)+1=1, 9, IF(COUNTIFS(C$2:C$999, C269, H$2:H$999, H269, M$2:M$999, "&lt;"&amp;M269)+1&lt;=8, 10-(COUNTIFS(C$2:C$999, C269, H$2:H$999, H269, M$2:M$999, "&lt;"&amp;M269)+1)-1, "")))</f>
        <v>0</v>
      </c>
      <c r="Q269" s="3">
        <f>IF(AND(N269&lt;&gt;"", O269&lt;&gt;""), 1, "")</f>
        <v>0</v>
      </c>
    </row>
    <row r="270" spans="1:17">
      <c r="A270">
        <v>269</v>
      </c>
      <c r="B270" t="s">
        <v>30</v>
      </c>
      <c r="C270" t="s">
        <v>54</v>
      </c>
      <c r="D270" t="s">
        <v>65</v>
      </c>
      <c r="E270" t="s">
        <v>73</v>
      </c>
      <c r="F270" t="s">
        <v>304</v>
      </c>
      <c r="G270" t="s">
        <v>392</v>
      </c>
      <c r="H270" t="s">
        <v>404</v>
      </c>
      <c r="I270" t="s">
        <v>631</v>
      </c>
      <c r="M270" s="1">
        <f>AVERAGE(J270:L270)</f>
        <v>0</v>
      </c>
      <c r="N270" s="1">
        <f>M270</f>
        <v>0</v>
      </c>
      <c r="P270" s="3">
        <f>IF(OR(H270="O", NOT(ISNUMBER(M270))), "", IF(COUNTIFS(C$2:C$999, C270, H$2:H$999, H270, M$2:M$999, "&lt;"&amp;M270)+1=1, 9, IF(COUNTIFS(C$2:C$999, C270, H$2:H$999, H270, M$2:M$999, "&lt;"&amp;M270)+1&lt;=8, 10-(COUNTIFS(C$2:C$999, C270, H$2:H$999, H270, M$2:M$999, "&lt;"&amp;M270)+1)-1, "")))</f>
        <v>0</v>
      </c>
      <c r="Q270" s="3">
        <f>IF(AND(N270&lt;&gt;"", O270&lt;&gt;""), 1, "")</f>
        <v>0</v>
      </c>
    </row>
    <row r="271" spans="1:17">
      <c r="A271">
        <v>270</v>
      </c>
      <c r="B271" t="s">
        <v>30</v>
      </c>
      <c r="C271" t="s">
        <v>54</v>
      </c>
      <c r="D271" t="s">
        <v>65</v>
      </c>
      <c r="E271" t="s">
        <v>74</v>
      </c>
      <c r="F271" t="s">
        <v>100</v>
      </c>
      <c r="G271" t="s">
        <v>394</v>
      </c>
      <c r="H271" t="s">
        <v>404</v>
      </c>
      <c r="I271" t="s">
        <v>427</v>
      </c>
      <c r="M271" s="1">
        <f>AVERAGE(J271:L271)</f>
        <v>0</v>
      </c>
      <c r="N271" s="1">
        <f>M271</f>
        <v>0</v>
      </c>
      <c r="P271" s="3">
        <f>IF(OR(H271="O", NOT(ISNUMBER(M271))), "", IF(COUNTIFS(C$2:C$999, C271, H$2:H$999, H271, M$2:M$999, "&lt;"&amp;M271)+1=1, 9, IF(COUNTIFS(C$2:C$999, C271, H$2:H$999, H271, M$2:M$999, "&lt;"&amp;M271)+1&lt;=8, 10-(COUNTIFS(C$2:C$999, C271, H$2:H$999, H271, M$2:M$999, "&lt;"&amp;M271)+1)-1, "")))</f>
        <v>0</v>
      </c>
      <c r="Q271" s="3">
        <f>IF(AND(N271&lt;&gt;"", O271&lt;&gt;""), 1, "")</f>
        <v>0</v>
      </c>
    </row>
    <row r="272" spans="1:17">
      <c r="A272">
        <v>271</v>
      </c>
      <c r="B272" t="s">
        <v>30</v>
      </c>
      <c r="C272" t="s">
        <v>54</v>
      </c>
      <c r="D272" t="s">
        <v>65</v>
      </c>
      <c r="E272" t="s">
        <v>75</v>
      </c>
      <c r="F272" t="s">
        <v>305</v>
      </c>
      <c r="G272" t="s">
        <v>395</v>
      </c>
      <c r="H272" t="s">
        <v>404</v>
      </c>
      <c r="I272" t="s">
        <v>632</v>
      </c>
      <c r="M272" s="1">
        <f>AVERAGE(J272:L272)</f>
        <v>0</v>
      </c>
      <c r="N272" s="1">
        <f>M272</f>
        <v>0</v>
      </c>
      <c r="P272" s="3">
        <f>IF(OR(H272="O", NOT(ISNUMBER(M272))), "", IF(COUNTIFS(C$2:C$999, C272, H$2:H$999, H272, M$2:M$999, "&lt;"&amp;M272)+1=1, 9, IF(COUNTIFS(C$2:C$999, C272, H$2:H$999, H272, M$2:M$999, "&lt;"&amp;M272)+1&lt;=8, 10-(COUNTIFS(C$2:C$999, C272, H$2:H$999, H272, M$2:M$999, "&lt;"&amp;M272)+1)-1, "")))</f>
        <v>0</v>
      </c>
      <c r="Q272" s="3">
        <f>IF(AND(N272&lt;&gt;"", O272&lt;&gt;""), 1, "")</f>
        <v>0</v>
      </c>
    </row>
    <row r="273" spans="1:17">
      <c r="A273">
        <v>272</v>
      </c>
      <c r="B273" t="s">
        <v>30</v>
      </c>
      <c r="C273" t="s">
        <v>54</v>
      </c>
      <c r="D273" t="s">
        <v>65</v>
      </c>
      <c r="E273" t="s">
        <v>76</v>
      </c>
      <c r="F273" t="s">
        <v>201</v>
      </c>
      <c r="G273" t="s">
        <v>396</v>
      </c>
      <c r="H273" t="s">
        <v>404</v>
      </c>
      <c r="I273" t="s">
        <v>528</v>
      </c>
      <c r="M273" s="1">
        <f>AVERAGE(J273:L273)</f>
        <v>0</v>
      </c>
      <c r="N273" s="1">
        <f>M273</f>
        <v>0</v>
      </c>
      <c r="P273" s="3">
        <f>IF(OR(H273="O", NOT(ISNUMBER(M273))), "", IF(COUNTIFS(C$2:C$999, C273, H$2:H$999, H273, M$2:M$999, "&lt;"&amp;M273)+1=1, 9, IF(COUNTIFS(C$2:C$999, C273, H$2:H$999, H273, M$2:M$999, "&lt;"&amp;M273)+1&lt;=8, 10-(COUNTIFS(C$2:C$999, C273, H$2:H$999, H273, M$2:M$999, "&lt;"&amp;M273)+1)-1, "")))</f>
        <v>0</v>
      </c>
      <c r="Q273" s="3">
        <f>IF(AND(N273&lt;&gt;"", O273&lt;&gt;""), 1, "")</f>
        <v>0</v>
      </c>
    </row>
    <row r="274" spans="1:17">
      <c r="A274">
        <v>273</v>
      </c>
      <c r="B274" t="s">
        <v>30</v>
      </c>
      <c r="C274" t="s">
        <v>54</v>
      </c>
      <c r="D274" t="s">
        <v>65</v>
      </c>
      <c r="E274" t="s">
        <v>77</v>
      </c>
      <c r="F274" t="s">
        <v>306</v>
      </c>
      <c r="G274" t="s">
        <v>397</v>
      </c>
      <c r="H274" t="s">
        <v>404</v>
      </c>
      <c r="I274" t="s">
        <v>633</v>
      </c>
      <c r="M274" s="1">
        <f>AVERAGE(J274:L274)</f>
        <v>0</v>
      </c>
      <c r="N274" s="1">
        <f>M274</f>
        <v>0</v>
      </c>
      <c r="P274" s="3">
        <f>IF(OR(H274="O", NOT(ISNUMBER(M274))), "", IF(COUNTIFS(C$2:C$999, C274, H$2:H$999, H274, M$2:M$999, "&lt;"&amp;M274)+1=1, 9, IF(COUNTIFS(C$2:C$999, C274, H$2:H$999, H274, M$2:M$999, "&lt;"&amp;M274)+1&lt;=8, 10-(COUNTIFS(C$2:C$999, C274, H$2:H$999, H274, M$2:M$999, "&lt;"&amp;M274)+1)-1, "")))</f>
        <v>0</v>
      </c>
      <c r="Q274" s="3">
        <f>IF(AND(N274&lt;&gt;"", O274&lt;&gt;""), 1, "")</f>
        <v>0</v>
      </c>
    </row>
    <row r="275" spans="1:17">
      <c r="A275">
        <v>274</v>
      </c>
      <c r="B275" t="s">
        <v>30</v>
      </c>
      <c r="C275" t="s">
        <v>54</v>
      </c>
      <c r="D275" t="s">
        <v>65</v>
      </c>
      <c r="E275" t="s">
        <v>78</v>
      </c>
      <c r="F275" t="s">
        <v>307</v>
      </c>
      <c r="G275" t="s">
        <v>390</v>
      </c>
      <c r="H275" t="s">
        <v>404</v>
      </c>
      <c r="I275" t="s">
        <v>634</v>
      </c>
      <c r="M275" s="1">
        <f>AVERAGE(J275:L275)</f>
        <v>0</v>
      </c>
      <c r="N275" s="1">
        <f>M275</f>
        <v>0</v>
      </c>
      <c r="P275" s="3">
        <f>IF(OR(H275="O", NOT(ISNUMBER(M275))), "", IF(COUNTIFS(C$2:C$999, C275, H$2:H$999, H275, M$2:M$999, "&lt;"&amp;M275)+1=1, 9, IF(COUNTIFS(C$2:C$999, C275, H$2:H$999, H275, M$2:M$999, "&lt;"&amp;M275)+1&lt;=8, 10-(COUNTIFS(C$2:C$999, C275, H$2:H$999, H275, M$2:M$999, "&lt;"&amp;M275)+1)-1, "")))</f>
        <v>0</v>
      </c>
      <c r="Q275" s="3">
        <f>IF(AND(N275&lt;&gt;"", O275&lt;&gt;""), 1, "")</f>
        <v>0</v>
      </c>
    </row>
    <row r="276" spans="1:17">
      <c r="A276">
        <v>275</v>
      </c>
      <c r="B276" t="s">
        <v>30</v>
      </c>
      <c r="C276" t="s">
        <v>54</v>
      </c>
      <c r="D276" t="s">
        <v>66</v>
      </c>
      <c r="E276" t="s">
        <v>72</v>
      </c>
      <c r="F276" t="s">
        <v>116</v>
      </c>
      <c r="G276" t="s">
        <v>399</v>
      </c>
      <c r="H276" t="s">
        <v>406</v>
      </c>
      <c r="I276" t="s">
        <v>443</v>
      </c>
      <c r="M276" s="1">
        <f>AVERAGE(J276:L276)</f>
        <v>0</v>
      </c>
      <c r="N276" s="1">
        <f>M276</f>
        <v>0</v>
      </c>
      <c r="P276" s="3">
        <f>IF(OR(H276="O", NOT(ISNUMBER(M276))), "", IF(COUNTIFS(C$2:C$999, C276, H$2:H$999, H276, M$2:M$999, "&lt;"&amp;M276)+1=1, 9, IF(COUNTIFS(C$2:C$999, C276, H$2:H$999, H276, M$2:M$999, "&lt;"&amp;M276)+1&lt;=8, 10-(COUNTIFS(C$2:C$999, C276, H$2:H$999, H276, M$2:M$999, "&lt;"&amp;M276)+1)-1, "")))</f>
        <v>0</v>
      </c>
      <c r="Q276" s="3">
        <f>IF(AND(N276&lt;&gt;"", O276&lt;&gt;""), 1, "")</f>
        <v>0</v>
      </c>
    </row>
    <row r="277" spans="1:17">
      <c r="A277">
        <v>276</v>
      </c>
      <c r="B277" t="s">
        <v>30</v>
      </c>
      <c r="C277" t="s">
        <v>54</v>
      </c>
      <c r="D277" t="s">
        <v>66</v>
      </c>
      <c r="E277" t="s">
        <v>73</v>
      </c>
      <c r="F277" t="s">
        <v>104</v>
      </c>
      <c r="G277" t="s">
        <v>391</v>
      </c>
      <c r="H277" t="s">
        <v>406</v>
      </c>
      <c r="I277" t="s">
        <v>431</v>
      </c>
      <c r="M277" s="1">
        <f>AVERAGE(J277:L277)</f>
        <v>0</v>
      </c>
      <c r="N277" s="1">
        <f>M277</f>
        <v>0</v>
      </c>
      <c r="P277" s="3">
        <f>IF(OR(H277="O", NOT(ISNUMBER(M277))), "", IF(COUNTIFS(C$2:C$999, C277, H$2:H$999, H277, M$2:M$999, "&lt;"&amp;M277)+1=1, 9, IF(COUNTIFS(C$2:C$999, C277, H$2:H$999, H277, M$2:M$999, "&lt;"&amp;M277)+1&lt;=8, 10-(COUNTIFS(C$2:C$999, C277, H$2:H$999, H277, M$2:M$999, "&lt;"&amp;M277)+1)-1, "")))</f>
        <v>0</v>
      </c>
      <c r="Q277" s="3">
        <f>IF(AND(N277&lt;&gt;"", O277&lt;&gt;""), 1, "")</f>
        <v>0</v>
      </c>
    </row>
    <row r="278" spans="1:17">
      <c r="A278">
        <v>277</v>
      </c>
      <c r="B278" t="s">
        <v>30</v>
      </c>
      <c r="C278" t="s">
        <v>54</v>
      </c>
      <c r="D278" t="s">
        <v>66</v>
      </c>
      <c r="E278" t="s">
        <v>74</v>
      </c>
      <c r="F278" t="s">
        <v>308</v>
      </c>
      <c r="G278" t="s">
        <v>396</v>
      </c>
      <c r="H278" t="s">
        <v>406</v>
      </c>
      <c r="I278" t="s">
        <v>635</v>
      </c>
      <c r="M278" s="1">
        <f>AVERAGE(J278:L278)</f>
        <v>0</v>
      </c>
      <c r="N278" s="1">
        <f>M278</f>
        <v>0</v>
      </c>
      <c r="P278" s="3">
        <f>IF(OR(H278="O", NOT(ISNUMBER(M278))), "", IF(COUNTIFS(C$2:C$999, C278, H$2:H$999, H278, M$2:M$999, "&lt;"&amp;M278)+1=1, 9, IF(COUNTIFS(C$2:C$999, C278, H$2:H$999, H278, M$2:M$999, "&lt;"&amp;M278)+1&lt;=8, 10-(COUNTIFS(C$2:C$999, C278, H$2:H$999, H278, M$2:M$999, "&lt;"&amp;M278)+1)-1, "")))</f>
        <v>0</v>
      </c>
      <c r="Q278" s="3">
        <f>IF(AND(N278&lt;&gt;"", O278&lt;&gt;""), 1, "")</f>
        <v>0</v>
      </c>
    </row>
    <row r="279" spans="1:17">
      <c r="A279">
        <v>278</v>
      </c>
      <c r="B279" t="s">
        <v>30</v>
      </c>
      <c r="C279" t="s">
        <v>54</v>
      </c>
      <c r="D279" t="s">
        <v>66</v>
      </c>
      <c r="E279" t="s">
        <v>75</v>
      </c>
      <c r="F279" t="s">
        <v>108</v>
      </c>
      <c r="G279" t="s">
        <v>402</v>
      </c>
      <c r="H279" t="s">
        <v>406</v>
      </c>
      <c r="I279" t="s">
        <v>435</v>
      </c>
      <c r="M279" s="1">
        <f>AVERAGE(J279:L279)</f>
        <v>0</v>
      </c>
      <c r="N279" s="1">
        <f>M279</f>
        <v>0</v>
      </c>
      <c r="P279" s="3">
        <f>IF(OR(H279="O", NOT(ISNUMBER(M279))), "", IF(COUNTIFS(C$2:C$999, C279, H$2:H$999, H279, M$2:M$999, "&lt;"&amp;M279)+1=1, 9, IF(COUNTIFS(C$2:C$999, C279, H$2:H$999, H279, M$2:M$999, "&lt;"&amp;M279)+1&lt;=8, 10-(COUNTIFS(C$2:C$999, C279, H$2:H$999, H279, M$2:M$999, "&lt;"&amp;M279)+1)-1, "")))</f>
        <v>0</v>
      </c>
      <c r="Q279" s="3">
        <f>IF(AND(N279&lt;&gt;"", O279&lt;&gt;""), 1, "")</f>
        <v>0</v>
      </c>
    </row>
    <row r="280" spans="1:17">
      <c r="A280">
        <v>279</v>
      </c>
      <c r="B280" t="s">
        <v>30</v>
      </c>
      <c r="C280" t="s">
        <v>54</v>
      </c>
      <c r="D280" t="s">
        <v>66</v>
      </c>
      <c r="E280" t="s">
        <v>76</v>
      </c>
      <c r="F280" t="s">
        <v>309</v>
      </c>
      <c r="G280" t="s">
        <v>390</v>
      </c>
      <c r="H280" t="s">
        <v>406</v>
      </c>
      <c r="I280" t="s">
        <v>636</v>
      </c>
      <c r="M280" s="1">
        <f>AVERAGE(J280:L280)</f>
        <v>0</v>
      </c>
      <c r="N280" s="1">
        <f>M280</f>
        <v>0</v>
      </c>
      <c r="P280" s="3">
        <f>IF(OR(H280="O", NOT(ISNUMBER(M280))), "", IF(COUNTIFS(C$2:C$999, C280, H$2:H$999, H280, M$2:M$999, "&lt;"&amp;M280)+1=1, 9, IF(COUNTIFS(C$2:C$999, C280, H$2:H$999, H280, M$2:M$999, "&lt;"&amp;M280)+1&lt;=8, 10-(COUNTIFS(C$2:C$999, C280, H$2:H$999, H280, M$2:M$999, "&lt;"&amp;M280)+1)-1, "")))</f>
        <v>0</v>
      </c>
      <c r="Q280" s="3">
        <f>IF(AND(N280&lt;&gt;"", O280&lt;&gt;""), 1, "")</f>
        <v>0</v>
      </c>
    </row>
    <row r="281" spans="1:17">
      <c r="A281">
        <v>280</v>
      </c>
      <c r="B281" t="s">
        <v>30</v>
      </c>
      <c r="C281" t="s">
        <v>54</v>
      </c>
      <c r="D281" t="s">
        <v>66</v>
      </c>
      <c r="E281" t="s">
        <v>77</v>
      </c>
      <c r="F281" t="s">
        <v>310</v>
      </c>
      <c r="G281" t="s">
        <v>392</v>
      </c>
      <c r="H281" t="s">
        <v>406</v>
      </c>
      <c r="I281" t="s">
        <v>637</v>
      </c>
      <c r="M281" s="1">
        <f>AVERAGE(J281:L281)</f>
        <v>0</v>
      </c>
      <c r="N281" s="1">
        <f>M281</f>
        <v>0</v>
      </c>
      <c r="P281" s="3">
        <f>IF(OR(H281="O", NOT(ISNUMBER(M281))), "", IF(COUNTIFS(C$2:C$999, C281, H$2:H$999, H281, M$2:M$999, "&lt;"&amp;M281)+1=1, 9, IF(COUNTIFS(C$2:C$999, C281, H$2:H$999, H281, M$2:M$999, "&lt;"&amp;M281)+1&lt;=8, 10-(COUNTIFS(C$2:C$999, C281, H$2:H$999, H281, M$2:M$999, "&lt;"&amp;M281)+1)-1, "")))</f>
        <v>0</v>
      </c>
      <c r="Q281" s="3">
        <f>IF(AND(N281&lt;&gt;"", O281&lt;&gt;""), 1, "")</f>
        <v>0</v>
      </c>
    </row>
    <row r="282" spans="1:17">
      <c r="A282">
        <v>281</v>
      </c>
      <c r="B282" t="s">
        <v>30</v>
      </c>
      <c r="C282" t="s">
        <v>54</v>
      </c>
      <c r="D282" t="s">
        <v>67</v>
      </c>
      <c r="E282" t="s">
        <v>71</v>
      </c>
      <c r="F282" t="s">
        <v>182</v>
      </c>
      <c r="G282" t="s">
        <v>398</v>
      </c>
      <c r="H282" t="s">
        <v>406</v>
      </c>
      <c r="I282" t="s">
        <v>509</v>
      </c>
      <c r="M282" s="1">
        <f>AVERAGE(J282:L282)</f>
        <v>0</v>
      </c>
      <c r="N282" s="1">
        <f>M282</f>
        <v>0</v>
      </c>
      <c r="P282" s="3">
        <f>IF(OR(H282="O", NOT(ISNUMBER(M282))), "", IF(COUNTIFS(C$2:C$999, C282, H$2:H$999, H282, M$2:M$999, "&lt;"&amp;M282)+1=1, 9, IF(COUNTIFS(C$2:C$999, C282, H$2:H$999, H282, M$2:M$999, "&lt;"&amp;M282)+1&lt;=8, 10-(COUNTIFS(C$2:C$999, C282, H$2:H$999, H282, M$2:M$999, "&lt;"&amp;M282)+1)-1, "")))</f>
        <v>0</v>
      </c>
      <c r="Q282" s="3">
        <f>IF(AND(N282&lt;&gt;"", O282&lt;&gt;""), 1, "")</f>
        <v>0</v>
      </c>
    </row>
    <row r="283" spans="1:17">
      <c r="A283">
        <v>282</v>
      </c>
      <c r="B283" t="s">
        <v>30</v>
      </c>
      <c r="C283" t="s">
        <v>54</v>
      </c>
      <c r="D283" t="s">
        <v>67</v>
      </c>
      <c r="E283" t="s">
        <v>72</v>
      </c>
      <c r="F283" t="s">
        <v>311</v>
      </c>
      <c r="G283" t="s">
        <v>401</v>
      </c>
      <c r="H283" t="s">
        <v>406</v>
      </c>
      <c r="I283" t="s">
        <v>638</v>
      </c>
      <c r="M283" s="1">
        <f>AVERAGE(J283:L283)</f>
        <v>0</v>
      </c>
      <c r="N283" s="1">
        <f>M283</f>
        <v>0</v>
      </c>
      <c r="P283" s="3">
        <f>IF(OR(H283="O", NOT(ISNUMBER(M283))), "", IF(COUNTIFS(C$2:C$999, C283, H$2:H$999, H283, M$2:M$999, "&lt;"&amp;M283)+1=1, 9, IF(COUNTIFS(C$2:C$999, C283, H$2:H$999, H283, M$2:M$999, "&lt;"&amp;M283)+1&lt;=8, 10-(COUNTIFS(C$2:C$999, C283, H$2:H$999, H283, M$2:M$999, "&lt;"&amp;M283)+1)-1, "")))</f>
        <v>0</v>
      </c>
      <c r="Q283" s="3">
        <f>IF(AND(N283&lt;&gt;"", O283&lt;&gt;""), 1, "")</f>
        <v>0</v>
      </c>
    </row>
    <row r="284" spans="1:17">
      <c r="A284">
        <v>283</v>
      </c>
      <c r="B284" t="s">
        <v>30</v>
      </c>
      <c r="C284" t="s">
        <v>54</v>
      </c>
      <c r="D284" t="s">
        <v>67</v>
      </c>
      <c r="E284" t="s">
        <v>73</v>
      </c>
      <c r="F284" t="s">
        <v>115</v>
      </c>
      <c r="G284" t="s">
        <v>399</v>
      </c>
      <c r="H284" t="s">
        <v>405</v>
      </c>
      <c r="I284" t="s">
        <v>442</v>
      </c>
      <c r="M284" s="1">
        <f>AVERAGE(J284:L284)</f>
        <v>0</v>
      </c>
      <c r="N284" s="1">
        <f>M284</f>
        <v>0</v>
      </c>
      <c r="P284" s="3">
        <f>IF(OR(H284="O", NOT(ISNUMBER(M284))), "", IF(COUNTIFS(C$2:C$999, C284, H$2:H$999, H284, M$2:M$999, "&lt;"&amp;M284)+1=1, 9, IF(COUNTIFS(C$2:C$999, C284, H$2:H$999, H284, M$2:M$999, "&lt;"&amp;M284)+1&lt;=8, 10-(COUNTIFS(C$2:C$999, C284, H$2:H$999, H284, M$2:M$999, "&lt;"&amp;M284)+1)-1, "")))</f>
        <v>0</v>
      </c>
      <c r="Q284" s="3">
        <f>IF(AND(N284&lt;&gt;"", O284&lt;&gt;""), 1, "")</f>
        <v>0</v>
      </c>
    </row>
    <row r="285" spans="1:17">
      <c r="A285">
        <v>284</v>
      </c>
      <c r="B285" t="s">
        <v>30</v>
      </c>
      <c r="C285" t="s">
        <v>54</v>
      </c>
      <c r="D285" t="s">
        <v>67</v>
      </c>
      <c r="E285" t="s">
        <v>74</v>
      </c>
      <c r="F285" t="s">
        <v>181</v>
      </c>
      <c r="G285" t="s">
        <v>403</v>
      </c>
      <c r="H285" t="s">
        <v>406</v>
      </c>
      <c r="I285" t="s">
        <v>508</v>
      </c>
      <c r="M285" s="1">
        <f>AVERAGE(J285:L285)</f>
        <v>0</v>
      </c>
      <c r="N285" s="1">
        <f>M285</f>
        <v>0</v>
      </c>
      <c r="P285" s="3">
        <f>IF(OR(H285="O", NOT(ISNUMBER(M285))), "", IF(COUNTIFS(C$2:C$999, C285, H$2:H$999, H285, M$2:M$999, "&lt;"&amp;M285)+1=1, 9, IF(COUNTIFS(C$2:C$999, C285, H$2:H$999, H285, M$2:M$999, "&lt;"&amp;M285)+1&lt;=8, 10-(COUNTIFS(C$2:C$999, C285, H$2:H$999, H285, M$2:M$999, "&lt;"&amp;M285)+1)-1, "")))</f>
        <v>0</v>
      </c>
      <c r="Q285" s="3">
        <f>IF(AND(N285&lt;&gt;"", O285&lt;&gt;""), 1, "")</f>
        <v>0</v>
      </c>
    </row>
    <row r="286" spans="1:17">
      <c r="A286">
        <v>285</v>
      </c>
      <c r="B286" t="s">
        <v>30</v>
      </c>
      <c r="C286" t="s">
        <v>54</v>
      </c>
      <c r="D286" t="s">
        <v>67</v>
      </c>
      <c r="E286" t="s">
        <v>75</v>
      </c>
      <c r="F286" t="s">
        <v>114</v>
      </c>
      <c r="G286" t="s">
        <v>394</v>
      </c>
      <c r="H286" t="s">
        <v>406</v>
      </c>
      <c r="I286" t="s">
        <v>441</v>
      </c>
      <c r="M286" s="1">
        <f>AVERAGE(J286:L286)</f>
        <v>0</v>
      </c>
      <c r="N286" s="1">
        <f>M286</f>
        <v>0</v>
      </c>
      <c r="P286" s="3">
        <f>IF(OR(H286="O", NOT(ISNUMBER(M286))), "", IF(COUNTIFS(C$2:C$999, C286, H$2:H$999, H286, M$2:M$999, "&lt;"&amp;M286)+1=1, 9, IF(COUNTIFS(C$2:C$999, C286, H$2:H$999, H286, M$2:M$999, "&lt;"&amp;M286)+1&lt;=8, 10-(COUNTIFS(C$2:C$999, C286, H$2:H$999, H286, M$2:M$999, "&lt;"&amp;M286)+1)-1, "")))</f>
        <v>0</v>
      </c>
      <c r="Q286" s="3">
        <f>IF(AND(N286&lt;&gt;"", O286&lt;&gt;""), 1, "")</f>
        <v>0</v>
      </c>
    </row>
    <row r="287" spans="1:17">
      <c r="A287">
        <v>286</v>
      </c>
      <c r="B287" t="s">
        <v>30</v>
      </c>
      <c r="C287" t="s">
        <v>54</v>
      </c>
      <c r="D287" t="s">
        <v>67</v>
      </c>
      <c r="E287" t="s">
        <v>76</v>
      </c>
      <c r="F287" t="s">
        <v>106</v>
      </c>
      <c r="G287" t="s">
        <v>399</v>
      </c>
      <c r="H287" t="s">
        <v>405</v>
      </c>
      <c r="I287" t="s">
        <v>433</v>
      </c>
      <c r="M287" s="1">
        <f>AVERAGE(J287:L287)</f>
        <v>0</v>
      </c>
      <c r="N287" s="1">
        <f>M287</f>
        <v>0</v>
      </c>
      <c r="P287" s="3">
        <f>IF(OR(H287="O", NOT(ISNUMBER(M287))), "", IF(COUNTIFS(C$2:C$999, C287, H$2:H$999, H287, M$2:M$999, "&lt;"&amp;M287)+1=1, 9, IF(COUNTIFS(C$2:C$999, C287, H$2:H$999, H287, M$2:M$999, "&lt;"&amp;M287)+1&lt;=8, 10-(COUNTIFS(C$2:C$999, C287, H$2:H$999, H287, M$2:M$999, "&lt;"&amp;M287)+1)-1, "")))</f>
        <v>0</v>
      </c>
      <c r="Q287" s="3">
        <f>IF(AND(N287&lt;&gt;"", O287&lt;&gt;""), 1, "")</f>
        <v>0</v>
      </c>
    </row>
    <row r="288" spans="1:17">
      <c r="A288">
        <v>287</v>
      </c>
      <c r="B288" t="s">
        <v>30</v>
      </c>
      <c r="C288" t="s">
        <v>54</v>
      </c>
      <c r="D288" t="s">
        <v>67</v>
      </c>
      <c r="E288" t="s">
        <v>77</v>
      </c>
      <c r="F288" t="s">
        <v>109</v>
      </c>
      <c r="G288" t="s">
        <v>402</v>
      </c>
      <c r="H288" t="s">
        <v>405</v>
      </c>
      <c r="I288" t="s">
        <v>436</v>
      </c>
      <c r="M288" s="1">
        <f>AVERAGE(J288:L288)</f>
        <v>0</v>
      </c>
      <c r="N288" s="1">
        <f>M288</f>
        <v>0</v>
      </c>
      <c r="P288" s="3">
        <f>IF(OR(H288="O", NOT(ISNUMBER(M288))), "", IF(COUNTIFS(C$2:C$999, C288, H$2:H$999, H288, M$2:M$999, "&lt;"&amp;M288)+1=1, 9, IF(COUNTIFS(C$2:C$999, C288, H$2:H$999, H288, M$2:M$999, "&lt;"&amp;M288)+1&lt;=8, 10-(COUNTIFS(C$2:C$999, C288, H$2:H$999, H288, M$2:M$999, "&lt;"&amp;M288)+1)-1, "")))</f>
        <v>0</v>
      </c>
      <c r="Q288" s="3">
        <f>IF(AND(N288&lt;&gt;"", O288&lt;&gt;""), 1, "")</f>
        <v>0</v>
      </c>
    </row>
    <row r="289" spans="1:17">
      <c r="A289">
        <v>288</v>
      </c>
      <c r="B289" t="s">
        <v>31</v>
      </c>
      <c r="C289" t="s">
        <v>55</v>
      </c>
      <c r="D289" t="s">
        <v>65</v>
      </c>
      <c r="E289" t="s">
        <v>71</v>
      </c>
      <c r="F289" t="s">
        <v>312</v>
      </c>
      <c r="G289" t="s">
        <v>390</v>
      </c>
      <c r="H289" t="s">
        <v>404</v>
      </c>
      <c r="I289" t="s">
        <v>639</v>
      </c>
      <c r="M289" s="1">
        <f>AVERAGE(J289:L289)</f>
        <v>0</v>
      </c>
      <c r="N289" s="1">
        <f>M289</f>
        <v>0</v>
      </c>
      <c r="P289" s="3">
        <f>IF(OR(H289="O", NOT(ISNUMBER(M289))), "", IF(COUNTIFS(C$2:C$999, C289, H$2:H$999, H289, M$2:M$999, "&lt;"&amp;M289)+1=1, 9, IF(COUNTIFS(C$2:C$999, C289, H$2:H$999, H289, M$2:M$999, "&lt;"&amp;M289)+1&lt;=8, 10-(COUNTIFS(C$2:C$999, C289, H$2:H$999, H289, M$2:M$999, "&lt;"&amp;M289)+1)-1, "")))</f>
        <v>0</v>
      </c>
      <c r="Q289" s="3">
        <f>IF(AND(N289&lt;&gt;"", O289&lt;&gt;""), 1, "")</f>
        <v>0</v>
      </c>
    </row>
    <row r="290" spans="1:17">
      <c r="A290">
        <v>289</v>
      </c>
      <c r="B290" t="s">
        <v>31</v>
      </c>
      <c r="C290" t="s">
        <v>55</v>
      </c>
      <c r="D290" t="s">
        <v>65</v>
      </c>
      <c r="E290" t="s">
        <v>72</v>
      </c>
      <c r="F290" t="s">
        <v>313</v>
      </c>
      <c r="G290" t="s">
        <v>391</v>
      </c>
      <c r="H290" t="s">
        <v>404</v>
      </c>
      <c r="I290" t="s">
        <v>640</v>
      </c>
      <c r="M290" s="1">
        <f>AVERAGE(J290:L290)</f>
        <v>0</v>
      </c>
      <c r="N290" s="1">
        <f>M290</f>
        <v>0</v>
      </c>
      <c r="P290" s="3">
        <f>IF(OR(H290="O", NOT(ISNUMBER(M290))), "", IF(COUNTIFS(C$2:C$999, C290, H$2:H$999, H290, M$2:M$999, "&lt;"&amp;M290)+1=1, 9, IF(COUNTIFS(C$2:C$999, C290, H$2:H$999, H290, M$2:M$999, "&lt;"&amp;M290)+1&lt;=8, 10-(COUNTIFS(C$2:C$999, C290, H$2:H$999, H290, M$2:M$999, "&lt;"&amp;M290)+1)-1, "")))</f>
        <v>0</v>
      </c>
      <c r="Q290" s="3">
        <f>IF(AND(N290&lt;&gt;"", O290&lt;&gt;""), 1, "")</f>
        <v>0</v>
      </c>
    </row>
    <row r="291" spans="1:17">
      <c r="A291">
        <v>290</v>
      </c>
      <c r="B291" t="s">
        <v>31</v>
      </c>
      <c r="C291" t="s">
        <v>55</v>
      </c>
      <c r="D291" t="s">
        <v>65</v>
      </c>
      <c r="E291" t="s">
        <v>73</v>
      </c>
      <c r="F291" t="s">
        <v>314</v>
      </c>
      <c r="G291" t="s">
        <v>393</v>
      </c>
      <c r="H291" t="s">
        <v>404</v>
      </c>
      <c r="I291" t="s">
        <v>641</v>
      </c>
      <c r="M291" s="1">
        <f>AVERAGE(J291:L291)</f>
        <v>0</v>
      </c>
      <c r="N291" s="1">
        <f>M291</f>
        <v>0</v>
      </c>
      <c r="P291" s="3">
        <f>IF(OR(H291="O", NOT(ISNUMBER(M291))), "", IF(COUNTIFS(C$2:C$999, C291, H$2:H$999, H291, M$2:M$999, "&lt;"&amp;M291)+1=1, 9, IF(COUNTIFS(C$2:C$999, C291, H$2:H$999, H291, M$2:M$999, "&lt;"&amp;M291)+1&lt;=8, 10-(COUNTIFS(C$2:C$999, C291, H$2:H$999, H291, M$2:M$999, "&lt;"&amp;M291)+1)-1, "")))</f>
        <v>0</v>
      </c>
      <c r="Q291" s="3">
        <f>IF(AND(N291&lt;&gt;"", O291&lt;&gt;""), 1, "")</f>
        <v>0</v>
      </c>
    </row>
    <row r="292" spans="1:17">
      <c r="A292">
        <v>291</v>
      </c>
      <c r="B292" t="s">
        <v>31</v>
      </c>
      <c r="C292" t="s">
        <v>55</v>
      </c>
      <c r="D292" t="s">
        <v>65</v>
      </c>
      <c r="E292" t="s">
        <v>74</v>
      </c>
      <c r="F292" t="s">
        <v>120</v>
      </c>
      <c r="G292" t="s">
        <v>392</v>
      </c>
      <c r="H292" t="s">
        <v>404</v>
      </c>
      <c r="I292" t="s">
        <v>447</v>
      </c>
      <c r="M292" s="1">
        <f>AVERAGE(J292:L292)</f>
        <v>0</v>
      </c>
      <c r="N292" s="1">
        <f>M292</f>
        <v>0</v>
      </c>
      <c r="P292" s="3">
        <f>IF(OR(H292="O", NOT(ISNUMBER(M292))), "", IF(COUNTIFS(C$2:C$999, C292, H$2:H$999, H292, M$2:M$999, "&lt;"&amp;M292)+1=1, 9, IF(COUNTIFS(C$2:C$999, C292, H$2:H$999, H292, M$2:M$999, "&lt;"&amp;M292)+1&lt;=8, 10-(COUNTIFS(C$2:C$999, C292, H$2:H$999, H292, M$2:M$999, "&lt;"&amp;M292)+1)-1, "")))</f>
        <v>0</v>
      </c>
      <c r="Q292" s="3">
        <f>IF(AND(N292&lt;&gt;"", O292&lt;&gt;""), 1, "")</f>
        <v>0</v>
      </c>
    </row>
    <row r="293" spans="1:17">
      <c r="A293">
        <v>292</v>
      </c>
      <c r="B293" t="s">
        <v>31</v>
      </c>
      <c r="C293" t="s">
        <v>55</v>
      </c>
      <c r="D293" t="s">
        <v>65</v>
      </c>
      <c r="E293" t="s">
        <v>75</v>
      </c>
      <c r="F293" t="s">
        <v>121</v>
      </c>
      <c r="G293" t="s">
        <v>394</v>
      </c>
      <c r="H293" t="s">
        <v>404</v>
      </c>
      <c r="I293" t="s">
        <v>448</v>
      </c>
      <c r="M293" s="1">
        <f>AVERAGE(J293:L293)</f>
        <v>0</v>
      </c>
      <c r="N293" s="1">
        <f>M293</f>
        <v>0</v>
      </c>
      <c r="P293" s="3">
        <f>IF(OR(H293="O", NOT(ISNUMBER(M293))), "", IF(COUNTIFS(C$2:C$999, C293, H$2:H$999, H293, M$2:M$999, "&lt;"&amp;M293)+1=1, 9, IF(COUNTIFS(C$2:C$999, C293, H$2:H$999, H293, M$2:M$999, "&lt;"&amp;M293)+1&lt;=8, 10-(COUNTIFS(C$2:C$999, C293, H$2:H$999, H293, M$2:M$999, "&lt;"&amp;M293)+1)-1, "")))</f>
        <v>0</v>
      </c>
      <c r="Q293" s="3">
        <f>IF(AND(N293&lt;&gt;"", O293&lt;&gt;""), 1, "")</f>
        <v>0</v>
      </c>
    </row>
    <row r="294" spans="1:17">
      <c r="A294">
        <v>293</v>
      </c>
      <c r="B294" t="s">
        <v>31</v>
      </c>
      <c r="C294" t="s">
        <v>55</v>
      </c>
      <c r="D294" t="s">
        <v>65</v>
      </c>
      <c r="E294" t="s">
        <v>76</v>
      </c>
      <c r="F294" t="s">
        <v>315</v>
      </c>
      <c r="G294" t="s">
        <v>395</v>
      </c>
      <c r="H294" t="s">
        <v>404</v>
      </c>
      <c r="I294" t="s">
        <v>642</v>
      </c>
      <c r="M294" s="1">
        <f>AVERAGE(J294:L294)</f>
        <v>0</v>
      </c>
      <c r="N294" s="1">
        <f>M294</f>
        <v>0</v>
      </c>
      <c r="P294" s="3">
        <f>IF(OR(H294="O", NOT(ISNUMBER(M294))), "", IF(COUNTIFS(C$2:C$999, C294, H$2:H$999, H294, M$2:M$999, "&lt;"&amp;M294)+1=1, 9, IF(COUNTIFS(C$2:C$999, C294, H$2:H$999, H294, M$2:M$999, "&lt;"&amp;M294)+1&lt;=8, 10-(COUNTIFS(C$2:C$999, C294, H$2:H$999, H294, M$2:M$999, "&lt;"&amp;M294)+1)-1, "")))</f>
        <v>0</v>
      </c>
      <c r="Q294" s="3">
        <f>IF(AND(N294&lt;&gt;"", O294&lt;&gt;""), 1, "")</f>
        <v>0</v>
      </c>
    </row>
    <row r="295" spans="1:17">
      <c r="A295">
        <v>294</v>
      </c>
      <c r="B295" t="s">
        <v>31</v>
      </c>
      <c r="C295" t="s">
        <v>55</v>
      </c>
      <c r="D295" t="s">
        <v>65</v>
      </c>
      <c r="E295" t="s">
        <v>77</v>
      </c>
      <c r="F295" t="s">
        <v>123</v>
      </c>
      <c r="G295" t="s">
        <v>396</v>
      </c>
      <c r="H295" t="s">
        <v>404</v>
      </c>
      <c r="I295" t="s">
        <v>450</v>
      </c>
      <c r="M295" s="1">
        <f>AVERAGE(J295:L295)</f>
        <v>0</v>
      </c>
      <c r="N295" s="1">
        <f>M295</f>
        <v>0</v>
      </c>
      <c r="P295" s="3">
        <f>IF(OR(H295="O", NOT(ISNUMBER(M295))), "", IF(COUNTIFS(C$2:C$999, C295, H$2:H$999, H295, M$2:M$999, "&lt;"&amp;M295)+1=1, 9, IF(COUNTIFS(C$2:C$999, C295, H$2:H$999, H295, M$2:M$999, "&lt;"&amp;M295)+1&lt;=8, 10-(COUNTIFS(C$2:C$999, C295, H$2:H$999, H295, M$2:M$999, "&lt;"&amp;M295)+1)-1, "")))</f>
        <v>0</v>
      </c>
      <c r="Q295" s="3">
        <f>IF(AND(N295&lt;&gt;"", O295&lt;&gt;""), 1, "")</f>
        <v>0</v>
      </c>
    </row>
    <row r="296" spans="1:17">
      <c r="A296">
        <v>295</v>
      </c>
      <c r="B296" t="s">
        <v>31</v>
      </c>
      <c r="C296" t="s">
        <v>55</v>
      </c>
      <c r="D296" t="s">
        <v>65</v>
      </c>
      <c r="E296" t="s">
        <v>78</v>
      </c>
      <c r="F296" t="s">
        <v>124</v>
      </c>
      <c r="G296" t="s">
        <v>397</v>
      </c>
      <c r="H296" t="s">
        <v>404</v>
      </c>
      <c r="I296" t="s">
        <v>451</v>
      </c>
      <c r="M296" s="1">
        <f>AVERAGE(J296:L296)</f>
        <v>0</v>
      </c>
      <c r="N296" s="1">
        <f>M296</f>
        <v>0</v>
      </c>
      <c r="P296" s="3">
        <f>IF(OR(H296="O", NOT(ISNUMBER(M296))), "", IF(COUNTIFS(C$2:C$999, C296, H$2:H$999, H296, M$2:M$999, "&lt;"&amp;M296)+1=1, 9, IF(COUNTIFS(C$2:C$999, C296, H$2:H$999, H296, M$2:M$999, "&lt;"&amp;M296)+1&lt;=8, 10-(COUNTIFS(C$2:C$999, C296, H$2:H$999, H296, M$2:M$999, "&lt;"&amp;M296)+1)-1, "")))</f>
        <v>0</v>
      </c>
      <c r="Q296" s="3">
        <f>IF(AND(N296&lt;&gt;"", O296&lt;&gt;""), 1, "")</f>
        <v>0</v>
      </c>
    </row>
    <row r="297" spans="1:17">
      <c r="A297">
        <v>296</v>
      </c>
      <c r="B297" t="s">
        <v>31</v>
      </c>
      <c r="C297" t="s">
        <v>55</v>
      </c>
      <c r="D297" t="s">
        <v>66</v>
      </c>
      <c r="E297" t="s">
        <v>71</v>
      </c>
      <c r="F297" t="s">
        <v>131</v>
      </c>
      <c r="G297" t="s">
        <v>399</v>
      </c>
      <c r="H297" t="s">
        <v>405</v>
      </c>
      <c r="I297" t="s">
        <v>458</v>
      </c>
      <c r="M297" s="1">
        <f>AVERAGE(J297:L297)</f>
        <v>0</v>
      </c>
      <c r="N297" s="1">
        <f>M297</f>
        <v>0</v>
      </c>
      <c r="P297" s="3">
        <f>IF(OR(H297="O", NOT(ISNUMBER(M297))), "", IF(COUNTIFS(C$2:C$999, C297, H$2:H$999, H297, M$2:M$999, "&lt;"&amp;M297)+1=1, 9, IF(COUNTIFS(C$2:C$999, C297, H$2:H$999, H297, M$2:M$999, "&lt;"&amp;M297)+1&lt;=8, 10-(COUNTIFS(C$2:C$999, C297, H$2:H$999, H297, M$2:M$999, "&lt;"&amp;M297)+1)-1, "")))</f>
        <v>0</v>
      </c>
      <c r="Q297" s="3">
        <f>IF(AND(N297&lt;&gt;"", O297&lt;&gt;""), 1, "")</f>
        <v>0</v>
      </c>
    </row>
    <row r="298" spans="1:17">
      <c r="A298">
        <v>297</v>
      </c>
      <c r="B298" t="s">
        <v>31</v>
      </c>
      <c r="C298" t="s">
        <v>55</v>
      </c>
      <c r="D298" t="s">
        <v>66</v>
      </c>
      <c r="E298" t="s">
        <v>72</v>
      </c>
      <c r="F298" t="s">
        <v>125</v>
      </c>
      <c r="G298" t="s">
        <v>392</v>
      </c>
      <c r="H298" t="s">
        <v>406</v>
      </c>
      <c r="I298" t="s">
        <v>452</v>
      </c>
      <c r="M298" s="1">
        <f>AVERAGE(J298:L298)</f>
        <v>0</v>
      </c>
      <c r="N298" s="1">
        <f>M298</f>
        <v>0</v>
      </c>
      <c r="P298" s="3">
        <f>IF(OR(H298="O", NOT(ISNUMBER(M298))), "", IF(COUNTIFS(C$2:C$999, C298, H$2:H$999, H298, M$2:M$999, "&lt;"&amp;M298)+1=1, 9, IF(COUNTIFS(C$2:C$999, C298, H$2:H$999, H298, M$2:M$999, "&lt;"&amp;M298)+1&lt;=8, 10-(COUNTIFS(C$2:C$999, C298, H$2:H$999, H298, M$2:M$999, "&lt;"&amp;M298)+1)-1, "")))</f>
        <v>0</v>
      </c>
      <c r="Q298" s="3">
        <f>IF(AND(N298&lt;&gt;"", O298&lt;&gt;""), 1, "")</f>
        <v>0</v>
      </c>
    </row>
    <row r="299" spans="1:17">
      <c r="A299">
        <v>298</v>
      </c>
      <c r="B299" t="s">
        <v>31</v>
      </c>
      <c r="C299" t="s">
        <v>55</v>
      </c>
      <c r="D299" t="s">
        <v>66</v>
      </c>
      <c r="E299" t="s">
        <v>73</v>
      </c>
      <c r="F299" t="s">
        <v>316</v>
      </c>
      <c r="G299" t="s">
        <v>400</v>
      </c>
      <c r="H299" t="s">
        <v>406</v>
      </c>
      <c r="I299" t="s">
        <v>643</v>
      </c>
      <c r="M299" s="1">
        <f>AVERAGE(J299:L299)</f>
        <v>0</v>
      </c>
      <c r="N299" s="1">
        <f>M299</f>
        <v>0</v>
      </c>
      <c r="P299" s="3">
        <f>IF(OR(H299="O", NOT(ISNUMBER(M299))), "", IF(COUNTIFS(C$2:C$999, C299, H$2:H$999, H299, M$2:M$999, "&lt;"&amp;M299)+1=1, 9, IF(COUNTIFS(C$2:C$999, C299, H$2:H$999, H299, M$2:M$999, "&lt;"&amp;M299)+1&lt;=8, 10-(COUNTIFS(C$2:C$999, C299, H$2:H$999, H299, M$2:M$999, "&lt;"&amp;M299)+1)-1, "")))</f>
        <v>0</v>
      </c>
      <c r="Q299" s="3">
        <f>IF(AND(N299&lt;&gt;"", O299&lt;&gt;""), 1, "")</f>
        <v>0</v>
      </c>
    </row>
    <row r="300" spans="1:17">
      <c r="A300">
        <v>299</v>
      </c>
      <c r="B300" t="s">
        <v>31</v>
      </c>
      <c r="C300" t="s">
        <v>55</v>
      </c>
      <c r="D300" t="s">
        <v>66</v>
      </c>
      <c r="E300" t="s">
        <v>74</v>
      </c>
      <c r="F300" t="s">
        <v>128</v>
      </c>
      <c r="G300" t="s">
        <v>399</v>
      </c>
      <c r="H300" t="s">
        <v>406</v>
      </c>
      <c r="I300" t="s">
        <v>455</v>
      </c>
      <c r="M300" s="1">
        <f>AVERAGE(J300:L300)</f>
        <v>0</v>
      </c>
      <c r="N300" s="1">
        <f>M300</f>
        <v>0</v>
      </c>
      <c r="P300" s="3">
        <f>IF(OR(H300="O", NOT(ISNUMBER(M300))), "", IF(COUNTIFS(C$2:C$999, C300, H$2:H$999, H300, M$2:M$999, "&lt;"&amp;M300)+1=1, 9, IF(COUNTIFS(C$2:C$999, C300, H$2:H$999, H300, M$2:M$999, "&lt;"&amp;M300)+1&lt;=8, 10-(COUNTIFS(C$2:C$999, C300, H$2:H$999, H300, M$2:M$999, "&lt;"&amp;M300)+1)-1, "")))</f>
        <v>0</v>
      </c>
      <c r="Q300" s="3">
        <f>IF(AND(N300&lt;&gt;"", O300&lt;&gt;""), 1, "")</f>
        <v>0</v>
      </c>
    </row>
    <row r="301" spans="1:17">
      <c r="A301">
        <v>300</v>
      </c>
      <c r="B301" t="s">
        <v>31</v>
      </c>
      <c r="C301" t="s">
        <v>55</v>
      </c>
      <c r="D301" t="s">
        <v>66</v>
      </c>
      <c r="E301" t="s">
        <v>75</v>
      </c>
      <c r="F301" t="s">
        <v>129</v>
      </c>
      <c r="G301" t="s">
        <v>402</v>
      </c>
      <c r="H301" t="s">
        <v>406</v>
      </c>
      <c r="I301" t="s">
        <v>456</v>
      </c>
      <c r="M301" s="1">
        <f>AVERAGE(J301:L301)</f>
        <v>0</v>
      </c>
      <c r="N301" s="1">
        <f>M301</f>
        <v>0</v>
      </c>
      <c r="P301" s="3">
        <f>IF(OR(H301="O", NOT(ISNUMBER(M301))), "", IF(COUNTIFS(C$2:C$999, C301, H$2:H$999, H301, M$2:M$999, "&lt;"&amp;M301)+1=1, 9, IF(COUNTIFS(C$2:C$999, C301, H$2:H$999, H301, M$2:M$999, "&lt;"&amp;M301)+1&lt;=8, 10-(COUNTIFS(C$2:C$999, C301, H$2:H$999, H301, M$2:M$999, "&lt;"&amp;M301)+1)-1, "")))</f>
        <v>0</v>
      </c>
      <c r="Q301" s="3">
        <f>IF(AND(N301&lt;&gt;"", O301&lt;&gt;""), 1, "")</f>
        <v>0</v>
      </c>
    </row>
    <row r="302" spans="1:17">
      <c r="A302">
        <v>301</v>
      </c>
      <c r="B302" t="s">
        <v>31</v>
      </c>
      <c r="C302" t="s">
        <v>55</v>
      </c>
      <c r="D302" t="s">
        <v>66</v>
      </c>
      <c r="E302" t="s">
        <v>76</v>
      </c>
      <c r="F302" t="s">
        <v>317</v>
      </c>
      <c r="G302" t="s">
        <v>394</v>
      </c>
      <c r="H302" t="s">
        <v>406</v>
      </c>
      <c r="I302" t="s">
        <v>644</v>
      </c>
      <c r="M302" s="1">
        <f>AVERAGE(J302:L302)</f>
        <v>0</v>
      </c>
      <c r="N302" s="1">
        <f>M302</f>
        <v>0</v>
      </c>
      <c r="P302" s="3">
        <f>IF(OR(H302="O", NOT(ISNUMBER(M302))), "", IF(COUNTIFS(C$2:C$999, C302, H$2:H$999, H302, M$2:M$999, "&lt;"&amp;M302)+1=1, 9, IF(COUNTIFS(C$2:C$999, C302, H$2:H$999, H302, M$2:M$999, "&lt;"&amp;M302)+1&lt;=8, 10-(COUNTIFS(C$2:C$999, C302, H$2:H$999, H302, M$2:M$999, "&lt;"&amp;M302)+1)-1, "")))</f>
        <v>0</v>
      </c>
      <c r="Q302" s="3">
        <f>IF(AND(N302&lt;&gt;"", O302&lt;&gt;""), 1, "")</f>
        <v>0</v>
      </c>
    </row>
    <row r="303" spans="1:17">
      <c r="A303">
        <v>302</v>
      </c>
      <c r="B303" t="s">
        <v>31</v>
      </c>
      <c r="C303" t="s">
        <v>55</v>
      </c>
      <c r="D303" t="s">
        <v>66</v>
      </c>
      <c r="E303" t="s">
        <v>77</v>
      </c>
      <c r="F303" t="s">
        <v>130</v>
      </c>
      <c r="G303" t="s">
        <v>398</v>
      </c>
      <c r="H303" t="s">
        <v>406</v>
      </c>
      <c r="I303" t="s">
        <v>457</v>
      </c>
      <c r="M303" s="1">
        <f>AVERAGE(J303:L303)</f>
        <v>0</v>
      </c>
      <c r="N303" s="1">
        <f>M303</f>
        <v>0</v>
      </c>
      <c r="P303" s="3">
        <f>IF(OR(H303="O", NOT(ISNUMBER(M303))), "", IF(COUNTIFS(C$2:C$999, C303, H$2:H$999, H303, M$2:M$999, "&lt;"&amp;M303)+1=1, 9, IF(COUNTIFS(C$2:C$999, C303, H$2:H$999, H303, M$2:M$999, "&lt;"&amp;M303)+1&lt;=8, 10-(COUNTIFS(C$2:C$999, C303, H$2:H$999, H303, M$2:M$999, "&lt;"&amp;M303)+1)-1, "")))</f>
        <v>0</v>
      </c>
      <c r="Q303" s="3">
        <f>IF(AND(N303&lt;&gt;"", O303&lt;&gt;""), 1, "")</f>
        <v>0</v>
      </c>
    </row>
    <row r="304" spans="1:17">
      <c r="A304">
        <v>303</v>
      </c>
      <c r="B304" t="s">
        <v>32</v>
      </c>
      <c r="C304" t="s">
        <v>56</v>
      </c>
      <c r="D304" t="s">
        <v>65</v>
      </c>
      <c r="E304" t="s">
        <v>71</v>
      </c>
      <c r="F304" t="s">
        <v>318</v>
      </c>
      <c r="G304" t="s">
        <v>390</v>
      </c>
      <c r="H304" t="s">
        <v>404</v>
      </c>
      <c r="I304" t="s">
        <v>645</v>
      </c>
      <c r="M304" s="1">
        <f>AVERAGE(J304:L304)</f>
        <v>0</v>
      </c>
      <c r="N304" s="1">
        <f>M304</f>
        <v>0</v>
      </c>
      <c r="P304" s="3">
        <f>IF(OR(H304="O", NOT(ISNUMBER(M304))), "", IF(COUNTIFS(C$2:C$999, C304, H$2:H$999, H304, M$2:M$999, "&lt;"&amp;M304)+1=1, 9, IF(COUNTIFS(C$2:C$999, C304, H$2:H$999, H304, M$2:M$999, "&lt;"&amp;M304)+1&lt;=8, 10-(COUNTIFS(C$2:C$999, C304, H$2:H$999, H304, M$2:M$999, "&lt;"&amp;M304)+1)-1, "")))</f>
        <v>0</v>
      </c>
      <c r="Q304" s="3">
        <f>IF(AND(N304&lt;&gt;"", O304&lt;&gt;""), 1, "")</f>
        <v>0</v>
      </c>
    </row>
    <row r="305" spans="1:17">
      <c r="A305">
        <v>304</v>
      </c>
      <c r="B305" t="s">
        <v>32</v>
      </c>
      <c r="C305" t="s">
        <v>56</v>
      </c>
      <c r="D305" t="s">
        <v>65</v>
      </c>
      <c r="E305" t="s">
        <v>72</v>
      </c>
      <c r="F305" t="s">
        <v>133</v>
      </c>
      <c r="G305" t="s">
        <v>391</v>
      </c>
      <c r="H305" t="s">
        <v>404</v>
      </c>
      <c r="I305" t="s">
        <v>460</v>
      </c>
      <c r="M305" s="1">
        <f>AVERAGE(J305:L305)</f>
        <v>0</v>
      </c>
      <c r="N305" s="1">
        <f>M305</f>
        <v>0</v>
      </c>
      <c r="P305" s="3">
        <f>IF(OR(H305="O", NOT(ISNUMBER(M305))), "", IF(COUNTIFS(C$2:C$999, C305, H$2:H$999, H305, M$2:M$999, "&lt;"&amp;M305)+1=1, 9, IF(COUNTIFS(C$2:C$999, C305, H$2:H$999, H305, M$2:M$999, "&lt;"&amp;M305)+1&lt;=8, 10-(COUNTIFS(C$2:C$999, C305, H$2:H$999, H305, M$2:M$999, "&lt;"&amp;M305)+1)-1, "")))</f>
        <v>0</v>
      </c>
      <c r="Q305" s="3">
        <f>IF(AND(N305&lt;&gt;"", O305&lt;&gt;""), 1, "")</f>
        <v>0</v>
      </c>
    </row>
    <row r="306" spans="1:17">
      <c r="A306">
        <v>305</v>
      </c>
      <c r="B306" t="s">
        <v>32</v>
      </c>
      <c r="C306" t="s">
        <v>56</v>
      </c>
      <c r="D306" t="s">
        <v>65</v>
      </c>
      <c r="E306" t="s">
        <v>73</v>
      </c>
      <c r="F306" t="s">
        <v>319</v>
      </c>
      <c r="G306" t="s">
        <v>393</v>
      </c>
      <c r="H306" t="s">
        <v>404</v>
      </c>
      <c r="I306" t="s">
        <v>646</v>
      </c>
      <c r="M306" s="1">
        <f>AVERAGE(J306:L306)</f>
        <v>0</v>
      </c>
      <c r="N306" s="1">
        <f>M306</f>
        <v>0</v>
      </c>
      <c r="P306" s="3">
        <f>IF(OR(H306="O", NOT(ISNUMBER(M306))), "", IF(COUNTIFS(C$2:C$999, C306, H$2:H$999, H306, M$2:M$999, "&lt;"&amp;M306)+1=1, 9, IF(COUNTIFS(C$2:C$999, C306, H$2:H$999, H306, M$2:M$999, "&lt;"&amp;M306)+1&lt;=8, 10-(COUNTIFS(C$2:C$999, C306, H$2:H$999, H306, M$2:M$999, "&lt;"&amp;M306)+1)-1, "")))</f>
        <v>0</v>
      </c>
      <c r="Q306" s="3">
        <f>IF(AND(N306&lt;&gt;"", O306&lt;&gt;""), 1, "")</f>
        <v>0</v>
      </c>
    </row>
    <row r="307" spans="1:17">
      <c r="A307">
        <v>306</v>
      </c>
      <c r="B307" t="s">
        <v>32</v>
      </c>
      <c r="C307" t="s">
        <v>56</v>
      </c>
      <c r="D307" t="s">
        <v>65</v>
      </c>
      <c r="E307" t="s">
        <v>74</v>
      </c>
      <c r="F307" t="s">
        <v>320</v>
      </c>
      <c r="G307" t="s">
        <v>392</v>
      </c>
      <c r="H307" t="s">
        <v>404</v>
      </c>
      <c r="I307" t="s">
        <v>647</v>
      </c>
      <c r="M307" s="1">
        <f>AVERAGE(J307:L307)</f>
        <v>0</v>
      </c>
      <c r="N307" s="1">
        <f>M307</f>
        <v>0</v>
      </c>
      <c r="P307" s="3">
        <f>IF(OR(H307="O", NOT(ISNUMBER(M307))), "", IF(COUNTIFS(C$2:C$999, C307, H$2:H$999, H307, M$2:M$999, "&lt;"&amp;M307)+1=1, 9, IF(COUNTIFS(C$2:C$999, C307, H$2:H$999, H307, M$2:M$999, "&lt;"&amp;M307)+1&lt;=8, 10-(COUNTIFS(C$2:C$999, C307, H$2:H$999, H307, M$2:M$999, "&lt;"&amp;M307)+1)-1, "")))</f>
        <v>0</v>
      </c>
      <c r="Q307" s="3">
        <f>IF(AND(N307&lt;&gt;"", O307&lt;&gt;""), 1, "")</f>
        <v>0</v>
      </c>
    </row>
    <row r="308" spans="1:17">
      <c r="A308">
        <v>307</v>
      </c>
      <c r="B308" t="s">
        <v>32</v>
      </c>
      <c r="C308" t="s">
        <v>56</v>
      </c>
      <c r="D308" t="s">
        <v>65</v>
      </c>
      <c r="E308" t="s">
        <v>75</v>
      </c>
      <c r="F308" t="s">
        <v>321</v>
      </c>
      <c r="G308" t="s">
        <v>394</v>
      </c>
      <c r="H308" t="s">
        <v>404</v>
      </c>
      <c r="I308" t="s">
        <v>648</v>
      </c>
      <c r="M308" s="1">
        <f>AVERAGE(J308:L308)</f>
        <v>0</v>
      </c>
      <c r="N308" s="1">
        <f>M308</f>
        <v>0</v>
      </c>
      <c r="P308" s="3">
        <f>IF(OR(H308="O", NOT(ISNUMBER(M308))), "", IF(COUNTIFS(C$2:C$999, C308, H$2:H$999, H308, M$2:M$999, "&lt;"&amp;M308)+1=1, 9, IF(COUNTIFS(C$2:C$999, C308, H$2:H$999, H308, M$2:M$999, "&lt;"&amp;M308)+1&lt;=8, 10-(COUNTIFS(C$2:C$999, C308, H$2:H$999, H308, M$2:M$999, "&lt;"&amp;M308)+1)-1, "")))</f>
        <v>0</v>
      </c>
      <c r="Q308" s="3">
        <f>IF(AND(N308&lt;&gt;"", O308&lt;&gt;""), 1, "")</f>
        <v>0</v>
      </c>
    </row>
    <row r="309" spans="1:17">
      <c r="A309">
        <v>308</v>
      </c>
      <c r="B309" t="s">
        <v>32</v>
      </c>
      <c r="C309" t="s">
        <v>56</v>
      </c>
      <c r="D309" t="s">
        <v>65</v>
      </c>
      <c r="E309" t="s">
        <v>76</v>
      </c>
      <c r="F309" t="s">
        <v>135</v>
      </c>
      <c r="G309" t="s">
        <v>395</v>
      </c>
      <c r="H309" t="s">
        <v>404</v>
      </c>
      <c r="I309" t="s">
        <v>462</v>
      </c>
      <c r="M309" s="1">
        <f>AVERAGE(J309:L309)</f>
        <v>0</v>
      </c>
      <c r="N309" s="1">
        <f>M309</f>
        <v>0</v>
      </c>
      <c r="P309" s="3">
        <f>IF(OR(H309="O", NOT(ISNUMBER(M309))), "", IF(COUNTIFS(C$2:C$999, C309, H$2:H$999, H309, M$2:M$999, "&lt;"&amp;M309)+1=1, 9, IF(COUNTIFS(C$2:C$999, C309, H$2:H$999, H309, M$2:M$999, "&lt;"&amp;M309)+1&lt;=8, 10-(COUNTIFS(C$2:C$999, C309, H$2:H$999, H309, M$2:M$999, "&lt;"&amp;M309)+1)-1, "")))</f>
        <v>0</v>
      </c>
      <c r="Q309" s="3">
        <f>IF(AND(N309&lt;&gt;"", O309&lt;&gt;""), 1, "")</f>
        <v>0</v>
      </c>
    </row>
    <row r="310" spans="1:17">
      <c r="A310">
        <v>309</v>
      </c>
      <c r="B310" t="s">
        <v>32</v>
      </c>
      <c r="C310" t="s">
        <v>56</v>
      </c>
      <c r="D310" t="s">
        <v>65</v>
      </c>
      <c r="E310" t="s">
        <v>77</v>
      </c>
      <c r="F310" t="s">
        <v>138</v>
      </c>
      <c r="G310" t="s">
        <v>396</v>
      </c>
      <c r="H310" t="s">
        <v>404</v>
      </c>
      <c r="I310" t="s">
        <v>465</v>
      </c>
      <c r="M310" s="1">
        <f>AVERAGE(J310:L310)</f>
        <v>0</v>
      </c>
      <c r="N310" s="1">
        <f>M310</f>
        <v>0</v>
      </c>
      <c r="P310" s="3">
        <f>IF(OR(H310="O", NOT(ISNUMBER(M310))), "", IF(COUNTIFS(C$2:C$999, C310, H$2:H$999, H310, M$2:M$999, "&lt;"&amp;M310)+1=1, 9, IF(COUNTIFS(C$2:C$999, C310, H$2:H$999, H310, M$2:M$999, "&lt;"&amp;M310)+1&lt;=8, 10-(COUNTIFS(C$2:C$999, C310, H$2:H$999, H310, M$2:M$999, "&lt;"&amp;M310)+1)-1, "")))</f>
        <v>0</v>
      </c>
      <c r="Q310" s="3">
        <f>IF(AND(N310&lt;&gt;"", O310&lt;&gt;""), 1, "")</f>
        <v>0</v>
      </c>
    </row>
    <row r="311" spans="1:17">
      <c r="A311">
        <v>310</v>
      </c>
      <c r="B311" t="s">
        <v>32</v>
      </c>
      <c r="C311" t="s">
        <v>56</v>
      </c>
      <c r="D311" t="s">
        <v>65</v>
      </c>
      <c r="E311" t="s">
        <v>78</v>
      </c>
      <c r="F311" t="s">
        <v>139</v>
      </c>
      <c r="G311" t="s">
        <v>397</v>
      </c>
      <c r="H311" t="s">
        <v>404</v>
      </c>
      <c r="I311" t="s">
        <v>466</v>
      </c>
      <c r="M311" s="1">
        <f>AVERAGE(J311:L311)</f>
        <v>0</v>
      </c>
      <c r="N311" s="1">
        <f>M311</f>
        <v>0</v>
      </c>
      <c r="P311" s="3">
        <f>IF(OR(H311="O", NOT(ISNUMBER(M311))), "", IF(COUNTIFS(C$2:C$999, C311, H$2:H$999, H311, M$2:M$999, "&lt;"&amp;M311)+1=1, 9, IF(COUNTIFS(C$2:C$999, C311, H$2:H$999, H311, M$2:M$999, "&lt;"&amp;M311)+1&lt;=8, 10-(COUNTIFS(C$2:C$999, C311, H$2:H$999, H311, M$2:M$999, "&lt;"&amp;M311)+1)-1, "")))</f>
        <v>0</v>
      </c>
      <c r="Q311" s="3">
        <f>IF(AND(N311&lt;&gt;"", O311&lt;&gt;""), 1, "")</f>
        <v>0</v>
      </c>
    </row>
    <row r="312" spans="1:17">
      <c r="A312">
        <v>311</v>
      </c>
      <c r="B312" t="s">
        <v>32</v>
      </c>
      <c r="C312" t="s">
        <v>56</v>
      </c>
      <c r="D312" t="s">
        <v>65</v>
      </c>
      <c r="E312" t="s">
        <v>80</v>
      </c>
      <c r="F312" t="s">
        <v>322</v>
      </c>
      <c r="G312" t="s">
        <v>390</v>
      </c>
      <c r="H312" t="s">
        <v>405</v>
      </c>
      <c r="I312" t="s">
        <v>649</v>
      </c>
      <c r="M312" s="1">
        <f>AVERAGE(J312:L312)</f>
        <v>0</v>
      </c>
      <c r="N312" s="1">
        <f>M312</f>
        <v>0</v>
      </c>
      <c r="P312" s="3">
        <f>IF(OR(H312="O", NOT(ISNUMBER(M312))), "", IF(COUNTIFS(C$2:C$999, C312, H$2:H$999, H312, M$2:M$999, "&lt;"&amp;M312)+1=1, 9, IF(COUNTIFS(C$2:C$999, C312, H$2:H$999, H312, M$2:M$999, "&lt;"&amp;M312)+1&lt;=8, 10-(COUNTIFS(C$2:C$999, C312, H$2:H$999, H312, M$2:M$999, "&lt;"&amp;M312)+1)-1, "")))</f>
        <v>0</v>
      </c>
      <c r="Q312" s="3">
        <f>IF(AND(N312&lt;&gt;"", O312&lt;&gt;""), 1, "")</f>
        <v>0</v>
      </c>
    </row>
    <row r="313" spans="1:17">
      <c r="A313">
        <v>312</v>
      </c>
      <c r="B313" t="s">
        <v>32</v>
      </c>
      <c r="C313" t="s">
        <v>56</v>
      </c>
      <c r="D313" t="s">
        <v>66</v>
      </c>
      <c r="E313" t="s">
        <v>71</v>
      </c>
      <c r="F313" t="s">
        <v>323</v>
      </c>
      <c r="G313" t="s">
        <v>390</v>
      </c>
      <c r="H313" t="s">
        <v>406</v>
      </c>
      <c r="I313" t="s">
        <v>650</v>
      </c>
      <c r="M313" s="1">
        <f>AVERAGE(J313:L313)</f>
        <v>0</v>
      </c>
      <c r="N313" s="1">
        <f>M313</f>
        <v>0</v>
      </c>
      <c r="P313" s="3">
        <f>IF(OR(H313="O", NOT(ISNUMBER(M313))), "", IF(COUNTIFS(C$2:C$999, C313, H$2:H$999, H313, M$2:M$999, "&lt;"&amp;M313)+1=1, 9, IF(COUNTIFS(C$2:C$999, C313, H$2:H$999, H313, M$2:M$999, "&lt;"&amp;M313)+1&lt;=8, 10-(COUNTIFS(C$2:C$999, C313, H$2:H$999, H313, M$2:M$999, "&lt;"&amp;M313)+1)-1, "")))</f>
        <v>0</v>
      </c>
      <c r="Q313" s="3">
        <f>IF(AND(N313&lt;&gt;"", O313&lt;&gt;""), 1, "")</f>
        <v>0</v>
      </c>
    </row>
    <row r="314" spans="1:17">
      <c r="A314">
        <v>313</v>
      </c>
      <c r="B314" t="s">
        <v>32</v>
      </c>
      <c r="C314" t="s">
        <v>56</v>
      </c>
      <c r="D314" t="s">
        <v>66</v>
      </c>
      <c r="E314" t="s">
        <v>72</v>
      </c>
      <c r="F314" t="s">
        <v>149</v>
      </c>
      <c r="G314" t="s">
        <v>391</v>
      </c>
      <c r="H314" t="s">
        <v>406</v>
      </c>
      <c r="I314" t="s">
        <v>476</v>
      </c>
      <c r="M314" s="1">
        <f>AVERAGE(J314:L314)</f>
        <v>0</v>
      </c>
      <c r="N314" s="1">
        <f>M314</f>
        <v>0</v>
      </c>
      <c r="P314" s="3">
        <f>IF(OR(H314="O", NOT(ISNUMBER(M314))), "", IF(COUNTIFS(C$2:C$999, C314, H$2:H$999, H314, M$2:M$999, "&lt;"&amp;M314)+1=1, 9, IF(COUNTIFS(C$2:C$999, C314, H$2:H$999, H314, M$2:M$999, "&lt;"&amp;M314)+1&lt;=8, 10-(COUNTIFS(C$2:C$999, C314, H$2:H$999, H314, M$2:M$999, "&lt;"&amp;M314)+1)-1, "")))</f>
        <v>0</v>
      </c>
      <c r="Q314" s="3">
        <f>IF(AND(N314&lt;&gt;"", O314&lt;&gt;""), 1, "")</f>
        <v>0</v>
      </c>
    </row>
    <row r="315" spans="1:17">
      <c r="A315">
        <v>314</v>
      </c>
      <c r="B315" t="s">
        <v>32</v>
      </c>
      <c r="C315" t="s">
        <v>56</v>
      </c>
      <c r="D315" t="s">
        <v>66</v>
      </c>
      <c r="E315" t="s">
        <v>73</v>
      </c>
      <c r="F315" t="s">
        <v>324</v>
      </c>
      <c r="G315" t="s">
        <v>392</v>
      </c>
      <c r="H315" t="s">
        <v>406</v>
      </c>
      <c r="I315" t="s">
        <v>651</v>
      </c>
      <c r="M315" s="1">
        <f>AVERAGE(J315:L315)</f>
        <v>0</v>
      </c>
      <c r="N315" s="1">
        <f>M315</f>
        <v>0</v>
      </c>
      <c r="P315" s="3">
        <f>IF(OR(H315="O", NOT(ISNUMBER(M315))), "", IF(COUNTIFS(C$2:C$999, C315, H$2:H$999, H315, M$2:M$999, "&lt;"&amp;M315)+1=1, 9, IF(COUNTIFS(C$2:C$999, C315, H$2:H$999, H315, M$2:M$999, "&lt;"&amp;M315)+1&lt;=8, 10-(COUNTIFS(C$2:C$999, C315, H$2:H$999, H315, M$2:M$999, "&lt;"&amp;M315)+1)-1, "")))</f>
        <v>0</v>
      </c>
      <c r="Q315" s="3">
        <f>IF(AND(N315&lt;&gt;"", O315&lt;&gt;""), 1, "")</f>
        <v>0</v>
      </c>
    </row>
    <row r="316" spans="1:17">
      <c r="A316">
        <v>315</v>
      </c>
      <c r="B316" t="s">
        <v>32</v>
      </c>
      <c r="C316" t="s">
        <v>56</v>
      </c>
      <c r="D316" t="s">
        <v>66</v>
      </c>
      <c r="E316" t="s">
        <v>74</v>
      </c>
      <c r="F316" t="s">
        <v>223</v>
      </c>
      <c r="G316" t="s">
        <v>394</v>
      </c>
      <c r="H316" t="s">
        <v>406</v>
      </c>
      <c r="I316" t="s">
        <v>550</v>
      </c>
      <c r="M316" s="1">
        <f>AVERAGE(J316:L316)</f>
        <v>0</v>
      </c>
      <c r="N316" s="1">
        <f>M316</f>
        <v>0</v>
      </c>
      <c r="P316" s="3">
        <f>IF(OR(H316="O", NOT(ISNUMBER(M316))), "", IF(COUNTIFS(C$2:C$999, C316, H$2:H$999, H316, M$2:M$999, "&lt;"&amp;M316)+1=1, 9, IF(COUNTIFS(C$2:C$999, C316, H$2:H$999, H316, M$2:M$999, "&lt;"&amp;M316)+1&lt;=8, 10-(COUNTIFS(C$2:C$999, C316, H$2:H$999, H316, M$2:M$999, "&lt;"&amp;M316)+1)-1, "")))</f>
        <v>0</v>
      </c>
      <c r="Q316" s="3">
        <f>IF(AND(N316&lt;&gt;"", O316&lt;&gt;""), 1, "")</f>
        <v>0</v>
      </c>
    </row>
    <row r="317" spans="1:17">
      <c r="A317">
        <v>316</v>
      </c>
      <c r="B317" t="s">
        <v>32</v>
      </c>
      <c r="C317" t="s">
        <v>56</v>
      </c>
      <c r="D317" t="s">
        <v>66</v>
      </c>
      <c r="E317" t="s">
        <v>75</v>
      </c>
      <c r="F317" t="s">
        <v>325</v>
      </c>
      <c r="G317" t="s">
        <v>399</v>
      </c>
      <c r="H317" t="s">
        <v>406</v>
      </c>
      <c r="I317" t="s">
        <v>652</v>
      </c>
      <c r="M317" s="1">
        <f>AVERAGE(J317:L317)</f>
        <v>0</v>
      </c>
      <c r="N317" s="1">
        <f>M317</f>
        <v>0</v>
      </c>
      <c r="P317" s="3">
        <f>IF(OR(H317="O", NOT(ISNUMBER(M317))), "", IF(COUNTIFS(C$2:C$999, C317, H$2:H$999, H317, M$2:M$999, "&lt;"&amp;M317)+1=1, 9, IF(COUNTIFS(C$2:C$999, C317, H$2:H$999, H317, M$2:M$999, "&lt;"&amp;M317)+1&lt;=8, 10-(COUNTIFS(C$2:C$999, C317, H$2:H$999, H317, M$2:M$999, "&lt;"&amp;M317)+1)-1, "")))</f>
        <v>0</v>
      </c>
      <c r="Q317" s="3">
        <f>IF(AND(N317&lt;&gt;"", O317&lt;&gt;""), 1, "")</f>
        <v>0</v>
      </c>
    </row>
    <row r="318" spans="1:17">
      <c r="A318">
        <v>317</v>
      </c>
      <c r="B318" t="s">
        <v>32</v>
      </c>
      <c r="C318" t="s">
        <v>56</v>
      </c>
      <c r="D318" t="s">
        <v>66</v>
      </c>
      <c r="E318" t="s">
        <v>76</v>
      </c>
      <c r="F318" t="s">
        <v>146</v>
      </c>
      <c r="G318" t="s">
        <v>401</v>
      </c>
      <c r="H318" t="s">
        <v>406</v>
      </c>
      <c r="I318" t="s">
        <v>473</v>
      </c>
      <c r="M318" s="1">
        <f>AVERAGE(J318:L318)</f>
        <v>0</v>
      </c>
      <c r="N318" s="1">
        <f>M318</f>
        <v>0</v>
      </c>
      <c r="P318" s="3">
        <f>IF(OR(H318="O", NOT(ISNUMBER(M318))), "", IF(COUNTIFS(C$2:C$999, C318, H$2:H$999, H318, M$2:M$999, "&lt;"&amp;M318)+1=1, 9, IF(COUNTIFS(C$2:C$999, C318, H$2:H$999, H318, M$2:M$999, "&lt;"&amp;M318)+1&lt;=8, 10-(COUNTIFS(C$2:C$999, C318, H$2:H$999, H318, M$2:M$999, "&lt;"&amp;M318)+1)-1, "")))</f>
        <v>0</v>
      </c>
      <c r="Q318" s="3">
        <f>IF(AND(N318&lt;&gt;"", O318&lt;&gt;""), 1, "")</f>
        <v>0</v>
      </c>
    </row>
    <row r="319" spans="1:17">
      <c r="A319">
        <v>318</v>
      </c>
      <c r="B319" t="s">
        <v>32</v>
      </c>
      <c r="C319" t="s">
        <v>56</v>
      </c>
      <c r="D319" t="s">
        <v>66</v>
      </c>
      <c r="E319" t="s">
        <v>77</v>
      </c>
      <c r="F319" t="s">
        <v>326</v>
      </c>
      <c r="G319" t="s">
        <v>398</v>
      </c>
      <c r="H319" t="s">
        <v>406</v>
      </c>
      <c r="I319" t="s">
        <v>653</v>
      </c>
      <c r="M319" s="1">
        <f>AVERAGE(J319:L319)</f>
        <v>0</v>
      </c>
      <c r="N319" s="1">
        <f>M319</f>
        <v>0</v>
      </c>
      <c r="P319" s="3">
        <f>IF(OR(H319="O", NOT(ISNUMBER(M319))), "", IF(COUNTIFS(C$2:C$999, C319, H$2:H$999, H319, M$2:M$999, "&lt;"&amp;M319)+1=1, 9, IF(COUNTIFS(C$2:C$999, C319, H$2:H$999, H319, M$2:M$999, "&lt;"&amp;M319)+1&lt;=8, 10-(COUNTIFS(C$2:C$999, C319, H$2:H$999, H319, M$2:M$999, "&lt;"&amp;M319)+1)-1, "")))</f>
        <v>0</v>
      </c>
      <c r="Q319" s="3">
        <f>IF(AND(N319&lt;&gt;"", O319&lt;&gt;""), 1, "")</f>
        <v>0</v>
      </c>
    </row>
    <row r="320" spans="1:17">
      <c r="A320">
        <v>319</v>
      </c>
      <c r="B320" t="s">
        <v>32</v>
      </c>
      <c r="C320" t="s">
        <v>56</v>
      </c>
      <c r="D320" t="s">
        <v>66</v>
      </c>
      <c r="E320" t="s">
        <v>78</v>
      </c>
      <c r="F320" t="s">
        <v>141</v>
      </c>
      <c r="G320" t="s">
        <v>402</v>
      </c>
      <c r="H320" t="s">
        <v>406</v>
      </c>
      <c r="I320" t="s">
        <v>468</v>
      </c>
      <c r="M320" s="1">
        <f>AVERAGE(J320:L320)</f>
        <v>0</v>
      </c>
      <c r="N320" s="1">
        <f>M320</f>
        <v>0</v>
      </c>
      <c r="P320" s="3">
        <f>IF(OR(H320="O", NOT(ISNUMBER(M320))), "", IF(COUNTIFS(C$2:C$999, C320, H$2:H$999, H320, M$2:M$999, "&lt;"&amp;M320)+1=1, 9, IF(COUNTIFS(C$2:C$999, C320, H$2:H$999, H320, M$2:M$999, "&lt;"&amp;M320)+1&lt;=8, 10-(COUNTIFS(C$2:C$999, C320, H$2:H$999, H320, M$2:M$999, "&lt;"&amp;M320)+1)-1, "")))</f>
        <v>0</v>
      </c>
      <c r="Q320" s="3">
        <f>IF(AND(N320&lt;&gt;"", O320&lt;&gt;""), 1, "")</f>
        <v>0</v>
      </c>
    </row>
    <row r="321" spans="1:17">
      <c r="A321">
        <v>320</v>
      </c>
      <c r="B321" t="s">
        <v>32</v>
      </c>
      <c r="C321" t="s">
        <v>56</v>
      </c>
      <c r="D321" t="s">
        <v>66</v>
      </c>
      <c r="E321" t="s">
        <v>80</v>
      </c>
      <c r="F321" t="s">
        <v>142</v>
      </c>
      <c r="G321" t="s">
        <v>400</v>
      </c>
      <c r="H321" t="s">
        <v>406</v>
      </c>
      <c r="I321" t="s">
        <v>469</v>
      </c>
      <c r="M321" s="1">
        <f>AVERAGE(J321:L321)</f>
        <v>0</v>
      </c>
      <c r="N321" s="1">
        <f>M321</f>
        <v>0</v>
      </c>
      <c r="P321" s="3">
        <f>IF(OR(H321="O", NOT(ISNUMBER(M321))), "", IF(COUNTIFS(C$2:C$999, C321, H$2:H$999, H321, M$2:M$999, "&lt;"&amp;M321)+1=1, 9, IF(COUNTIFS(C$2:C$999, C321, H$2:H$999, H321, M$2:M$999, "&lt;"&amp;M321)+1&lt;=8, 10-(COUNTIFS(C$2:C$999, C321, H$2:H$999, H321, M$2:M$999, "&lt;"&amp;M321)+1)-1, "")))</f>
        <v>0</v>
      </c>
      <c r="Q321" s="3">
        <f>IF(AND(N321&lt;&gt;"", O321&lt;&gt;""), 1, "")</f>
        <v>0</v>
      </c>
    </row>
    <row r="322" spans="1:17">
      <c r="A322">
        <v>321</v>
      </c>
      <c r="B322" t="s">
        <v>33</v>
      </c>
      <c r="C322" t="s">
        <v>57</v>
      </c>
      <c r="D322" t="s">
        <v>65</v>
      </c>
      <c r="E322" t="s">
        <v>71</v>
      </c>
      <c r="F322" t="s">
        <v>184</v>
      </c>
      <c r="G322" t="s">
        <v>390</v>
      </c>
      <c r="H322" t="s">
        <v>404</v>
      </c>
      <c r="I322" t="s">
        <v>511</v>
      </c>
      <c r="M322" s="1">
        <f>AVERAGE(J322:L322)</f>
        <v>0</v>
      </c>
      <c r="N322" s="1">
        <f>M322</f>
        <v>0</v>
      </c>
      <c r="P322" s="3">
        <f>IF(OR(H322="O", NOT(ISNUMBER(M322))), "", IF(COUNTIFS(C$2:C$999, C322, H$2:H$999, H322, M$2:M$999, "&lt;"&amp;M322)+1=1, 9, IF(COUNTIFS(C$2:C$999, C322, H$2:H$999, H322, M$2:M$999, "&lt;"&amp;M322)+1&lt;=8, 10-(COUNTIFS(C$2:C$999, C322, H$2:H$999, H322, M$2:M$999, "&lt;"&amp;M322)+1)-1, "")))</f>
        <v>0</v>
      </c>
      <c r="Q322" s="3">
        <f>IF(AND(N322&lt;&gt;"", O322&lt;&gt;""), 1, "")</f>
        <v>0</v>
      </c>
    </row>
    <row r="323" spans="1:17">
      <c r="A323">
        <v>322</v>
      </c>
      <c r="B323" t="s">
        <v>33</v>
      </c>
      <c r="C323" t="s">
        <v>57</v>
      </c>
      <c r="D323" t="s">
        <v>65</v>
      </c>
      <c r="E323" t="s">
        <v>72</v>
      </c>
      <c r="F323" t="s">
        <v>327</v>
      </c>
      <c r="G323" t="s">
        <v>391</v>
      </c>
      <c r="H323" t="s">
        <v>404</v>
      </c>
      <c r="I323" t="s">
        <v>654</v>
      </c>
      <c r="M323" s="1">
        <f>AVERAGE(J323:L323)</f>
        <v>0</v>
      </c>
      <c r="N323" s="1">
        <f>M323</f>
        <v>0</v>
      </c>
      <c r="P323" s="3">
        <f>IF(OR(H323="O", NOT(ISNUMBER(M323))), "", IF(COUNTIFS(C$2:C$999, C323, H$2:H$999, H323, M$2:M$999, "&lt;"&amp;M323)+1=1, 9, IF(COUNTIFS(C$2:C$999, C323, H$2:H$999, H323, M$2:M$999, "&lt;"&amp;M323)+1&lt;=8, 10-(COUNTIFS(C$2:C$999, C323, H$2:H$999, H323, M$2:M$999, "&lt;"&amp;M323)+1)-1, "")))</f>
        <v>0</v>
      </c>
      <c r="Q323" s="3">
        <f>IF(AND(N323&lt;&gt;"", O323&lt;&gt;""), 1, "")</f>
        <v>0</v>
      </c>
    </row>
    <row r="324" spans="1:17">
      <c r="A324">
        <v>323</v>
      </c>
      <c r="B324" t="s">
        <v>33</v>
      </c>
      <c r="C324" t="s">
        <v>57</v>
      </c>
      <c r="D324" t="s">
        <v>65</v>
      </c>
      <c r="E324" t="s">
        <v>73</v>
      </c>
      <c r="F324" t="s">
        <v>328</v>
      </c>
      <c r="G324" t="s">
        <v>393</v>
      </c>
      <c r="H324" t="s">
        <v>404</v>
      </c>
      <c r="I324" t="s">
        <v>655</v>
      </c>
      <c r="M324" s="1">
        <f>AVERAGE(J324:L324)</f>
        <v>0</v>
      </c>
      <c r="N324" s="1">
        <f>M324</f>
        <v>0</v>
      </c>
      <c r="P324" s="3">
        <f>IF(OR(H324="O", NOT(ISNUMBER(M324))), "", IF(COUNTIFS(C$2:C$999, C324, H$2:H$999, H324, M$2:M$999, "&lt;"&amp;M324)+1=1, 9, IF(COUNTIFS(C$2:C$999, C324, H$2:H$999, H324, M$2:M$999, "&lt;"&amp;M324)+1&lt;=8, 10-(COUNTIFS(C$2:C$999, C324, H$2:H$999, H324, M$2:M$999, "&lt;"&amp;M324)+1)-1, "")))</f>
        <v>0</v>
      </c>
      <c r="Q324" s="3">
        <f>IF(AND(N324&lt;&gt;"", O324&lt;&gt;""), 1, "")</f>
        <v>0</v>
      </c>
    </row>
    <row r="325" spans="1:17">
      <c r="A325">
        <v>324</v>
      </c>
      <c r="B325" t="s">
        <v>33</v>
      </c>
      <c r="C325" t="s">
        <v>57</v>
      </c>
      <c r="D325" t="s">
        <v>65</v>
      </c>
      <c r="E325" t="s">
        <v>74</v>
      </c>
      <c r="F325" t="s">
        <v>329</v>
      </c>
      <c r="G325" t="s">
        <v>392</v>
      </c>
      <c r="H325" t="s">
        <v>404</v>
      </c>
      <c r="I325" t="s">
        <v>656</v>
      </c>
      <c r="M325" s="1">
        <f>AVERAGE(J325:L325)</f>
        <v>0</v>
      </c>
      <c r="N325" s="1">
        <f>M325</f>
        <v>0</v>
      </c>
      <c r="P325" s="3">
        <f>IF(OR(H325="O", NOT(ISNUMBER(M325))), "", IF(COUNTIFS(C$2:C$999, C325, H$2:H$999, H325, M$2:M$999, "&lt;"&amp;M325)+1=1, 9, IF(COUNTIFS(C$2:C$999, C325, H$2:H$999, H325, M$2:M$999, "&lt;"&amp;M325)+1&lt;=8, 10-(COUNTIFS(C$2:C$999, C325, H$2:H$999, H325, M$2:M$999, "&lt;"&amp;M325)+1)-1, "")))</f>
        <v>0</v>
      </c>
      <c r="Q325" s="3">
        <f>IF(AND(N325&lt;&gt;"", O325&lt;&gt;""), 1, "")</f>
        <v>0</v>
      </c>
    </row>
    <row r="326" spans="1:17">
      <c r="A326">
        <v>325</v>
      </c>
      <c r="B326" t="s">
        <v>33</v>
      </c>
      <c r="C326" t="s">
        <v>57</v>
      </c>
      <c r="D326" t="s">
        <v>65</v>
      </c>
      <c r="E326" t="s">
        <v>75</v>
      </c>
      <c r="F326" t="s">
        <v>154</v>
      </c>
      <c r="G326" t="s">
        <v>394</v>
      </c>
      <c r="H326" t="s">
        <v>404</v>
      </c>
      <c r="I326" t="s">
        <v>481</v>
      </c>
      <c r="M326" s="1">
        <f>AVERAGE(J326:L326)</f>
        <v>0</v>
      </c>
      <c r="N326" s="1">
        <f>M326</f>
        <v>0</v>
      </c>
      <c r="P326" s="3">
        <f>IF(OR(H326="O", NOT(ISNUMBER(M326))), "", IF(COUNTIFS(C$2:C$999, C326, H$2:H$999, H326, M$2:M$999, "&lt;"&amp;M326)+1=1, 9, IF(COUNTIFS(C$2:C$999, C326, H$2:H$999, H326, M$2:M$999, "&lt;"&amp;M326)+1&lt;=8, 10-(COUNTIFS(C$2:C$999, C326, H$2:H$999, H326, M$2:M$999, "&lt;"&amp;M326)+1)-1, "")))</f>
        <v>0</v>
      </c>
      <c r="Q326" s="3">
        <f>IF(AND(N326&lt;&gt;"", O326&lt;&gt;""), 1, "")</f>
        <v>0</v>
      </c>
    </row>
    <row r="327" spans="1:17">
      <c r="A327">
        <v>326</v>
      </c>
      <c r="B327" t="s">
        <v>33</v>
      </c>
      <c r="C327" t="s">
        <v>57</v>
      </c>
      <c r="D327" t="s">
        <v>65</v>
      </c>
      <c r="E327" t="s">
        <v>76</v>
      </c>
      <c r="F327" t="s">
        <v>86</v>
      </c>
      <c r="G327" t="s">
        <v>395</v>
      </c>
      <c r="H327" t="s">
        <v>404</v>
      </c>
      <c r="I327" t="s">
        <v>413</v>
      </c>
      <c r="M327" s="1">
        <f>AVERAGE(J327:L327)</f>
        <v>0</v>
      </c>
      <c r="N327" s="1">
        <f>M327</f>
        <v>0</v>
      </c>
      <c r="P327" s="3">
        <f>IF(OR(H327="O", NOT(ISNUMBER(M327))), "", IF(COUNTIFS(C$2:C$999, C327, H$2:H$999, H327, M$2:M$999, "&lt;"&amp;M327)+1=1, 9, IF(COUNTIFS(C$2:C$999, C327, H$2:H$999, H327, M$2:M$999, "&lt;"&amp;M327)+1&lt;=8, 10-(COUNTIFS(C$2:C$999, C327, H$2:H$999, H327, M$2:M$999, "&lt;"&amp;M327)+1)-1, "")))</f>
        <v>0</v>
      </c>
      <c r="Q327" s="3">
        <f>IF(AND(N327&lt;&gt;"", O327&lt;&gt;""), 1, "")</f>
        <v>0</v>
      </c>
    </row>
    <row r="328" spans="1:17">
      <c r="A328">
        <v>327</v>
      </c>
      <c r="B328" t="s">
        <v>33</v>
      </c>
      <c r="C328" t="s">
        <v>57</v>
      </c>
      <c r="D328" t="s">
        <v>65</v>
      </c>
      <c r="E328" t="s">
        <v>77</v>
      </c>
      <c r="F328" t="s">
        <v>87</v>
      </c>
      <c r="G328" t="s">
        <v>396</v>
      </c>
      <c r="H328" t="s">
        <v>404</v>
      </c>
      <c r="I328" t="s">
        <v>414</v>
      </c>
      <c r="M328" s="1">
        <f>AVERAGE(J328:L328)</f>
        <v>0</v>
      </c>
      <c r="N328" s="1">
        <f>M328</f>
        <v>0</v>
      </c>
      <c r="P328" s="3">
        <f>IF(OR(H328="O", NOT(ISNUMBER(M328))), "", IF(COUNTIFS(C$2:C$999, C328, H$2:H$999, H328, M$2:M$999, "&lt;"&amp;M328)+1=1, 9, IF(COUNTIFS(C$2:C$999, C328, H$2:H$999, H328, M$2:M$999, "&lt;"&amp;M328)+1&lt;=8, 10-(COUNTIFS(C$2:C$999, C328, H$2:H$999, H328, M$2:M$999, "&lt;"&amp;M328)+1)-1, "")))</f>
        <v>0</v>
      </c>
      <c r="Q328" s="3">
        <f>IF(AND(N328&lt;&gt;"", O328&lt;&gt;""), 1, "")</f>
        <v>0</v>
      </c>
    </row>
    <row r="329" spans="1:17">
      <c r="A329">
        <v>328</v>
      </c>
      <c r="B329" t="s">
        <v>33</v>
      </c>
      <c r="C329" t="s">
        <v>57</v>
      </c>
      <c r="D329" t="s">
        <v>66</v>
      </c>
      <c r="E329" t="s">
        <v>72</v>
      </c>
      <c r="F329" t="s">
        <v>330</v>
      </c>
      <c r="G329" t="s">
        <v>400</v>
      </c>
      <c r="H329" t="s">
        <v>406</v>
      </c>
      <c r="I329" t="s">
        <v>657</v>
      </c>
      <c r="M329" s="1">
        <f>AVERAGE(J329:L329)</f>
        <v>0</v>
      </c>
      <c r="N329" s="1">
        <f>M329</f>
        <v>0</v>
      </c>
      <c r="P329" s="3">
        <f>IF(OR(H329="O", NOT(ISNUMBER(M329))), "", IF(COUNTIFS(C$2:C$999, C329, H$2:H$999, H329, M$2:M$999, "&lt;"&amp;M329)+1=1, 9, IF(COUNTIFS(C$2:C$999, C329, H$2:H$999, H329, M$2:M$999, "&lt;"&amp;M329)+1&lt;=8, 10-(COUNTIFS(C$2:C$999, C329, H$2:H$999, H329, M$2:M$999, "&lt;"&amp;M329)+1)-1, "")))</f>
        <v>0</v>
      </c>
      <c r="Q329" s="3">
        <f>IF(AND(N329&lt;&gt;"", O329&lt;&gt;""), 1, "")</f>
        <v>0</v>
      </c>
    </row>
    <row r="330" spans="1:17">
      <c r="A330">
        <v>329</v>
      </c>
      <c r="B330" t="s">
        <v>33</v>
      </c>
      <c r="C330" t="s">
        <v>57</v>
      </c>
      <c r="D330" t="s">
        <v>66</v>
      </c>
      <c r="E330" t="s">
        <v>73</v>
      </c>
      <c r="F330" t="s">
        <v>93</v>
      </c>
      <c r="G330" t="s">
        <v>394</v>
      </c>
      <c r="H330" t="s">
        <v>406</v>
      </c>
      <c r="I330" t="s">
        <v>420</v>
      </c>
      <c r="M330" s="1">
        <f>AVERAGE(J330:L330)</f>
        <v>0</v>
      </c>
      <c r="N330" s="1">
        <f>M330</f>
        <v>0</v>
      </c>
      <c r="P330" s="3">
        <f>IF(OR(H330="O", NOT(ISNUMBER(M330))), "", IF(COUNTIFS(C$2:C$999, C330, H$2:H$999, H330, M$2:M$999, "&lt;"&amp;M330)+1=1, 9, IF(COUNTIFS(C$2:C$999, C330, H$2:H$999, H330, M$2:M$999, "&lt;"&amp;M330)+1&lt;=8, 10-(COUNTIFS(C$2:C$999, C330, H$2:H$999, H330, M$2:M$999, "&lt;"&amp;M330)+1)-1, "")))</f>
        <v>0</v>
      </c>
      <c r="Q330" s="3">
        <f>IF(AND(N330&lt;&gt;"", O330&lt;&gt;""), 1, "")</f>
        <v>0</v>
      </c>
    </row>
    <row r="331" spans="1:17">
      <c r="A331">
        <v>330</v>
      </c>
      <c r="B331" t="s">
        <v>33</v>
      </c>
      <c r="C331" t="s">
        <v>57</v>
      </c>
      <c r="D331" t="s">
        <v>66</v>
      </c>
      <c r="E331" t="s">
        <v>74</v>
      </c>
      <c r="F331" t="s">
        <v>91</v>
      </c>
      <c r="G331" t="s">
        <v>399</v>
      </c>
      <c r="H331" t="s">
        <v>406</v>
      </c>
      <c r="I331" t="s">
        <v>418</v>
      </c>
      <c r="M331" s="1">
        <f>AVERAGE(J331:L331)</f>
        <v>0</v>
      </c>
      <c r="N331" s="1">
        <f>M331</f>
        <v>0</v>
      </c>
      <c r="P331" s="3">
        <f>IF(OR(H331="O", NOT(ISNUMBER(M331))), "", IF(COUNTIFS(C$2:C$999, C331, H$2:H$999, H331, M$2:M$999, "&lt;"&amp;M331)+1=1, 9, IF(COUNTIFS(C$2:C$999, C331, H$2:H$999, H331, M$2:M$999, "&lt;"&amp;M331)+1&lt;=8, 10-(COUNTIFS(C$2:C$999, C331, H$2:H$999, H331, M$2:M$999, "&lt;"&amp;M331)+1)-1, "")))</f>
        <v>0</v>
      </c>
      <c r="Q331" s="3">
        <f>IF(AND(N331&lt;&gt;"", O331&lt;&gt;""), 1, "")</f>
        <v>0</v>
      </c>
    </row>
    <row r="332" spans="1:17">
      <c r="A332">
        <v>331</v>
      </c>
      <c r="B332" t="s">
        <v>33</v>
      </c>
      <c r="C332" t="s">
        <v>57</v>
      </c>
      <c r="D332" t="s">
        <v>66</v>
      </c>
      <c r="E332" t="s">
        <v>75</v>
      </c>
      <c r="F332" t="s">
        <v>94</v>
      </c>
      <c r="G332" t="s">
        <v>401</v>
      </c>
      <c r="H332" t="s">
        <v>406</v>
      </c>
      <c r="I332" t="s">
        <v>421</v>
      </c>
      <c r="M332" s="1">
        <f>AVERAGE(J332:L332)</f>
        <v>0</v>
      </c>
      <c r="N332" s="1">
        <f>M332</f>
        <v>0</v>
      </c>
      <c r="P332" s="3">
        <f>IF(OR(H332="O", NOT(ISNUMBER(M332))), "", IF(COUNTIFS(C$2:C$999, C332, H$2:H$999, H332, M$2:M$999, "&lt;"&amp;M332)+1=1, 9, IF(COUNTIFS(C$2:C$999, C332, H$2:H$999, H332, M$2:M$999, "&lt;"&amp;M332)+1&lt;=8, 10-(COUNTIFS(C$2:C$999, C332, H$2:H$999, H332, M$2:M$999, "&lt;"&amp;M332)+1)-1, "")))</f>
        <v>0</v>
      </c>
      <c r="Q332" s="3">
        <f>IF(AND(N332&lt;&gt;"", O332&lt;&gt;""), 1, "")</f>
        <v>0</v>
      </c>
    </row>
    <row r="333" spans="1:17">
      <c r="A333">
        <v>332</v>
      </c>
      <c r="B333" t="s">
        <v>33</v>
      </c>
      <c r="C333" t="s">
        <v>57</v>
      </c>
      <c r="D333" t="s">
        <v>66</v>
      </c>
      <c r="E333" t="s">
        <v>76</v>
      </c>
      <c r="F333" t="s">
        <v>331</v>
      </c>
      <c r="G333" t="s">
        <v>398</v>
      </c>
      <c r="H333" t="s">
        <v>406</v>
      </c>
      <c r="I333" t="s">
        <v>658</v>
      </c>
      <c r="M333" s="1">
        <f>AVERAGE(J333:L333)</f>
        <v>0</v>
      </c>
      <c r="N333" s="1">
        <f>M333</f>
        <v>0</v>
      </c>
      <c r="P333" s="3">
        <f>IF(OR(H333="O", NOT(ISNUMBER(M333))), "", IF(COUNTIFS(C$2:C$999, C333, H$2:H$999, H333, M$2:M$999, "&lt;"&amp;M333)+1=1, 9, IF(COUNTIFS(C$2:C$999, C333, H$2:H$999, H333, M$2:M$999, "&lt;"&amp;M333)+1&lt;=8, 10-(COUNTIFS(C$2:C$999, C333, H$2:H$999, H333, M$2:M$999, "&lt;"&amp;M333)+1)-1, "")))</f>
        <v>0</v>
      </c>
      <c r="Q333" s="3">
        <f>IF(AND(N333&lt;&gt;"", O333&lt;&gt;""), 1, "")</f>
        <v>0</v>
      </c>
    </row>
    <row r="334" spans="1:17">
      <c r="A334">
        <v>333</v>
      </c>
      <c r="B334" t="s">
        <v>33</v>
      </c>
      <c r="C334" t="s">
        <v>57</v>
      </c>
      <c r="D334" t="s">
        <v>66</v>
      </c>
      <c r="E334" t="s">
        <v>77</v>
      </c>
      <c r="F334" t="s">
        <v>164</v>
      </c>
      <c r="G334" t="s">
        <v>402</v>
      </c>
      <c r="H334" t="s">
        <v>406</v>
      </c>
      <c r="I334" t="s">
        <v>491</v>
      </c>
      <c r="M334" s="1">
        <f>AVERAGE(J334:L334)</f>
        <v>0</v>
      </c>
      <c r="N334" s="1">
        <f>M334</f>
        <v>0</v>
      </c>
      <c r="P334" s="3">
        <f>IF(OR(H334="O", NOT(ISNUMBER(M334))), "", IF(COUNTIFS(C$2:C$999, C334, H$2:H$999, H334, M$2:M$999, "&lt;"&amp;M334)+1=1, 9, IF(COUNTIFS(C$2:C$999, C334, H$2:H$999, H334, M$2:M$999, "&lt;"&amp;M334)+1&lt;=8, 10-(COUNTIFS(C$2:C$999, C334, H$2:H$999, H334, M$2:M$999, "&lt;"&amp;M334)+1)-1, "")))</f>
        <v>0</v>
      </c>
      <c r="Q334" s="3">
        <f>IF(AND(N334&lt;&gt;"", O334&lt;&gt;""), 1, "")</f>
        <v>0</v>
      </c>
    </row>
    <row r="335" spans="1:17">
      <c r="A335">
        <v>334</v>
      </c>
      <c r="B335" t="s">
        <v>34</v>
      </c>
      <c r="C335" t="s">
        <v>58</v>
      </c>
      <c r="D335" t="s">
        <v>65</v>
      </c>
      <c r="E335" t="s">
        <v>71</v>
      </c>
      <c r="F335" t="s">
        <v>168</v>
      </c>
      <c r="G335" t="s">
        <v>390</v>
      </c>
      <c r="H335" t="s">
        <v>404</v>
      </c>
      <c r="I335" t="s">
        <v>495</v>
      </c>
      <c r="M335" s="1">
        <f>AVERAGE(J335:L335)</f>
        <v>0</v>
      </c>
      <c r="N335" s="1">
        <f>M335</f>
        <v>0</v>
      </c>
      <c r="P335" s="3">
        <f>IF(OR(H335="O", NOT(ISNUMBER(M335))), "", IF(COUNTIFS(C$2:C$999, C335, H$2:H$999, H335, M$2:M$999, "&lt;"&amp;M335)+1=1, 9, IF(COUNTIFS(C$2:C$999, C335, H$2:H$999, H335, M$2:M$999, "&lt;"&amp;M335)+1&lt;=8, 10-(COUNTIFS(C$2:C$999, C335, H$2:H$999, H335, M$2:M$999, "&lt;"&amp;M335)+1)-1, "")))</f>
        <v>0</v>
      </c>
      <c r="Q335" s="3">
        <f>IF(AND(N335&lt;&gt;"", O335&lt;&gt;""), 1, "")</f>
        <v>0</v>
      </c>
    </row>
    <row r="336" spans="1:17">
      <c r="A336">
        <v>335</v>
      </c>
      <c r="B336" t="s">
        <v>34</v>
      </c>
      <c r="C336" t="s">
        <v>58</v>
      </c>
      <c r="D336" t="s">
        <v>65</v>
      </c>
      <c r="E336" t="s">
        <v>72</v>
      </c>
      <c r="F336" t="s">
        <v>169</v>
      </c>
      <c r="G336" t="s">
        <v>391</v>
      </c>
      <c r="H336" t="s">
        <v>404</v>
      </c>
      <c r="I336" t="s">
        <v>496</v>
      </c>
      <c r="M336" s="1">
        <f>AVERAGE(J336:L336)</f>
        <v>0</v>
      </c>
      <c r="N336" s="1">
        <f>M336</f>
        <v>0</v>
      </c>
      <c r="P336" s="3">
        <f>IF(OR(H336="O", NOT(ISNUMBER(M336))), "", IF(COUNTIFS(C$2:C$999, C336, H$2:H$999, H336, M$2:M$999, "&lt;"&amp;M336)+1=1, 9, IF(COUNTIFS(C$2:C$999, C336, H$2:H$999, H336, M$2:M$999, "&lt;"&amp;M336)+1&lt;=8, 10-(COUNTIFS(C$2:C$999, C336, H$2:H$999, H336, M$2:M$999, "&lt;"&amp;M336)+1)-1, "")))</f>
        <v>0</v>
      </c>
      <c r="Q336" s="3">
        <f>IF(AND(N336&lt;&gt;"", O336&lt;&gt;""), 1, "")</f>
        <v>0</v>
      </c>
    </row>
    <row r="337" spans="1:17">
      <c r="A337">
        <v>336</v>
      </c>
      <c r="B337" t="s">
        <v>34</v>
      </c>
      <c r="C337" t="s">
        <v>58</v>
      </c>
      <c r="D337" t="s">
        <v>65</v>
      </c>
      <c r="E337" t="s">
        <v>73</v>
      </c>
      <c r="F337" t="s">
        <v>170</v>
      </c>
      <c r="G337" t="s">
        <v>393</v>
      </c>
      <c r="H337" t="s">
        <v>404</v>
      </c>
      <c r="I337" t="s">
        <v>497</v>
      </c>
      <c r="M337" s="1">
        <f>AVERAGE(J337:L337)</f>
        <v>0</v>
      </c>
      <c r="N337" s="1">
        <f>M337</f>
        <v>0</v>
      </c>
      <c r="P337" s="3">
        <f>IF(OR(H337="O", NOT(ISNUMBER(M337))), "", IF(COUNTIFS(C$2:C$999, C337, H$2:H$999, H337, M$2:M$999, "&lt;"&amp;M337)+1=1, 9, IF(COUNTIFS(C$2:C$999, C337, H$2:H$999, H337, M$2:M$999, "&lt;"&amp;M337)+1&lt;=8, 10-(COUNTIFS(C$2:C$999, C337, H$2:H$999, H337, M$2:M$999, "&lt;"&amp;M337)+1)-1, "")))</f>
        <v>0</v>
      </c>
      <c r="Q337" s="3">
        <f>IF(AND(N337&lt;&gt;"", O337&lt;&gt;""), 1, "")</f>
        <v>0</v>
      </c>
    </row>
    <row r="338" spans="1:17">
      <c r="A338">
        <v>337</v>
      </c>
      <c r="B338" t="s">
        <v>34</v>
      </c>
      <c r="C338" t="s">
        <v>58</v>
      </c>
      <c r="D338" t="s">
        <v>65</v>
      </c>
      <c r="E338" t="s">
        <v>74</v>
      </c>
      <c r="F338" t="s">
        <v>332</v>
      </c>
      <c r="G338" t="s">
        <v>392</v>
      </c>
      <c r="H338" t="s">
        <v>404</v>
      </c>
      <c r="I338" t="s">
        <v>659</v>
      </c>
      <c r="M338" s="1">
        <f>AVERAGE(J338:L338)</f>
        <v>0</v>
      </c>
      <c r="N338" s="1">
        <f>M338</f>
        <v>0</v>
      </c>
      <c r="P338" s="3">
        <f>IF(OR(H338="O", NOT(ISNUMBER(M338))), "", IF(COUNTIFS(C$2:C$999, C338, H$2:H$999, H338, M$2:M$999, "&lt;"&amp;M338)+1=1, 9, IF(COUNTIFS(C$2:C$999, C338, H$2:H$999, H338, M$2:M$999, "&lt;"&amp;M338)+1&lt;=8, 10-(COUNTIFS(C$2:C$999, C338, H$2:H$999, H338, M$2:M$999, "&lt;"&amp;M338)+1)-1, "")))</f>
        <v>0</v>
      </c>
      <c r="Q338" s="3">
        <f>IF(AND(N338&lt;&gt;"", O338&lt;&gt;""), 1, "")</f>
        <v>0</v>
      </c>
    </row>
    <row r="339" spans="1:17">
      <c r="A339">
        <v>338</v>
      </c>
      <c r="B339" t="s">
        <v>34</v>
      </c>
      <c r="C339" t="s">
        <v>58</v>
      </c>
      <c r="D339" t="s">
        <v>65</v>
      </c>
      <c r="E339" t="s">
        <v>75</v>
      </c>
      <c r="F339" t="s">
        <v>172</v>
      </c>
      <c r="G339" t="s">
        <v>394</v>
      </c>
      <c r="H339" t="s">
        <v>404</v>
      </c>
      <c r="I339" t="s">
        <v>499</v>
      </c>
      <c r="M339" s="1">
        <f>AVERAGE(J339:L339)</f>
        <v>0</v>
      </c>
      <c r="N339" s="1">
        <f>M339</f>
        <v>0</v>
      </c>
      <c r="P339" s="3">
        <f>IF(OR(H339="O", NOT(ISNUMBER(M339))), "", IF(COUNTIFS(C$2:C$999, C339, H$2:H$999, H339, M$2:M$999, "&lt;"&amp;M339)+1=1, 9, IF(COUNTIFS(C$2:C$999, C339, H$2:H$999, H339, M$2:M$999, "&lt;"&amp;M339)+1&lt;=8, 10-(COUNTIFS(C$2:C$999, C339, H$2:H$999, H339, M$2:M$999, "&lt;"&amp;M339)+1)-1, "")))</f>
        <v>0</v>
      </c>
      <c r="Q339" s="3">
        <f>IF(AND(N339&lt;&gt;"", O339&lt;&gt;""), 1, "")</f>
        <v>0</v>
      </c>
    </row>
    <row r="340" spans="1:17">
      <c r="A340">
        <v>339</v>
      </c>
      <c r="B340" t="s">
        <v>34</v>
      </c>
      <c r="C340" t="s">
        <v>58</v>
      </c>
      <c r="D340" t="s">
        <v>65</v>
      </c>
      <c r="E340" t="s">
        <v>76</v>
      </c>
      <c r="F340" t="s">
        <v>200</v>
      </c>
      <c r="G340" t="s">
        <v>395</v>
      </c>
      <c r="H340" t="s">
        <v>404</v>
      </c>
      <c r="I340" t="s">
        <v>527</v>
      </c>
      <c r="M340" s="1">
        <f>AVERAGE(J340:L340)</f>
        <v>0</v>
      </c>
      <c r="N340" s="1">
        <f>M340</f>
        <v>0</v>
      </c>
      <c r="P340" s="3">
        <f>IF(OR(H340="O", NOT(ISNUMBER(M340))), "", IF(COUNTIFS(C$2:C$999, C340, H$2:H$999, H340, M$2:M$999, "&lt;"&amp;M340)+1=1, 9, IF(COUNTIFS(C$2:C$999, C340, H$2:H$999, H340, M$2:M$999, "&lt;"&amp;M340)+1&lt;=8, 10-(COUNTIFS(C$2:C$999, C340, H$2:H$999, H340, M$2:M$999, "&lt;"&amp;M340)+1)-1, "")))</f>
        <v>0</v>
      </c>
      <c r="Q340" s="3">
        <f>IF(AND(N340&lt;&gt;"", O340&lt;&gt;""), 1, "")</f>
        <v>0</v>
      </c>
    </row>
    <row r="341" spans="1:17">
      <c r="A341">
        <v>340</v>
      </c>
      <c r="B341" t="s">
        <v>34</v>
      </c>
      <c r="C341" t="s">
        <v>58</v>
      </c>
      <c r="D341" t="s">
        <v>65</v>
      </c>
      <c r="E341" t="s">
        <v>77</v>
      </c>
      <c r="F341" t="s">
        <v>102</v>
      </c>
      <c r="G341" t="s">
        <v>396</v>
      </c>
      <c r="H341" t="s">
        <v>404</v>
      </c>
      <c r="I341" t="s">
        <v>429</v>
      </c>
      <c r="M341" s="1">
        <f>AVERAGE(J341:L341)</f>
        <v>0</v>
      </c>
      <c r="N341" s="1">
        <f>M341</f>
        <v>0</v>
      </c>
      <c r="P341" s="3">
        <f>IF(OR(H341="O", NOT(ISNUMBER(M341))), "", IF(COUNTIFS(C$2:C$999, C341, H$2:H$999, H341, M$2:M$999, "&lt;"&amp;M341)+1=1, 9, IF(COUNTIFS(C$2:C$999, C341, H$2:H$999, H341, M$2:M$999, "&lt;"&amp;M341)+1&lt;=8, 10-(COUNTIFS(C$2:C$999, C341, H$2:H$999, H341, M$2:M$999, "&lt;"&amp;M341)+1)-1, "")))</f>
        <v>0</v>
      </c>
      <c r="Q341" s="3">
        <f>IF(AND(N341&lt;&gt;"", O341&lt;&gt;""), 1, "")</f>
        <v>0</v>
      </c>
    </row>
    <row r="342" spans="1:17">
      <c r="A342">
        <v>341</v>
      </c>
      <c r="B342" t="s">
        <v>34</v>
      </c>
      <c r="C342" t="s">
        <v>58</v>
      </c>
      <c r="D342" t="s">
        <v>65</v>
      </c>
      <c r="E342" t="s">
        <v>78</v>
      </c>
      <c r="F342" t="s">
        <v>333</v>
      </c>
      <c r="G342" t="s">
        <v>397</v>
      </c>
      <c r="H342" t="s">
        <v>404</v>
      </c>
      <c r="I342" t="s">
        <v>660</v>
      </c>
      <c r="M342" s="1">
        <f>AVERAGE(J342:L342)</f>
        <v>0</v>
      </c>
      <c r="N342" s="1">
        <f>M342</f>
        <v>0</v>
      </c>
      <c r="P342" s="3">
        <f>IF(OR(H342="O", NOT(ISNUMBER(M342))), "", IF(COUNTIFS(C$2:C$999, C342, H$2:H$999, H342, M$2:M$999, "&lt;"&amp;M342)+1=1, 9, IF(COUNTIFS(C$2:C$999, C342, H$2:H$999, H342, M$2:M$999, "&lt;"&amp;M342)+1&lt;=8, 10-(COUNTIFS(C$2:C$999, C342, H$2:H$999, H342, M$2:M$999, "&lt;"&amp;M342)+1)-1, "")))</f>
        <v>0</v>
      </c>
      <c r="Q342" s="3">
        <f>IF(AND(N342&lt;&gt;"", O342&lt;&gt;""), 1, "")</f>
        <v>0</v>
      </c>
    </row>
    <row r="343" spans="1:17">
      <c r="A343">
        <v>342</v>
      </c>
      <c r="B343" t="s">
        <v>34</v>
      </c>
      <c r="C343" t="s">
        <v>58</v>
      </c>
      <c r="D343" t="s">
        <v>66</v>
      </c>
      <c r="E343" t="s">
        <v>71</v>
      </c>
      <c r="F343" t="s">
        <v>207</v>
      </c>
      <c r="G343" t="s">
        <v>390</v>
      </c>
      <c r="H343" t="s">
        <v>406</v>
      </c>
      <c r="I343" t="s">
        <v>534</v>
      </c>
      <c r="M343" s="1">
        <f>AVERAGE(J343:L343)</f>
        <v>0</v>
      </c>
      <c r="N343" s="1">
        <f>M343</f>
        <v>0</v>
      </c>
      <c r="P343" s="3">
        <f>IF(OR(H343="O", NOT(ISNUMBER(M343))), "", IF(COUNTIFS(C$2:C$999, C343, H$2:H$999, H343, M$2:M$999, "&lt;"&amp;M343)+1=1, 9, IF(COUNTIFS(C$2:C$999, C343, H$2:H$999, H343, M$2:M$999, "&lt;"&amp;M343)+1&lt;=8, 10-(COUNTIFS(C$2:C$999, C343, H$2:H$999, H343, M$2:M$999, "&lt;"&amp;M343)+1)-1, "")))</f>
        <v>0</v>
      </c>
      <c r="Q343" s="3">
        <f>IF(AND(N343&lt;&gt;"", O343&lt;&gt;""), 1, "")</f>
        <v>0</v>
      </c>
    </row>
    <row r="344" spans="1:17">
      <c r="A344">
        <v>343</v>
      </c>
      <c r="B344" t="s">
        <v>34</v>
      </c>
      <c r="C344" t="s">
        <v>58</v>
      </c>
      <c r="D344" t="s">
        <v>66</v>
      </c>
      <c r="E344" t="s">
        <v>72</v>
      </c>
      <c r="F344" t="s">
        <v>179</v>
      </c>
      <c r="G344" t="s">
        <v>391</v>
      </c>
      <c r="H344" t="s">
        <v>406</v>
      </c>
      <c r="I344" t="s">
        <v>506</v>
      </c>
      <c r="M344" s="1">
        <f>AVERAGE(J344:L344)</f>
        <v>0</v>
      </c>
      <c r="N344" s="1">
        <f>M344</f>
        <v>0</v>
      </c>
      <c r="P344" s="3">
        <f>IF(OR(H344="O", NOT(ISNUMBER(M344))), "", IF(COUNTIFS(C$2:C$999, C344, H$2:H$999, H344, M$2:M$999, "&lt;"&amp;M344)+1=1, 9, IF(COUNTIFS(C$2:C$999, C344, H$2:H$999, H344, M$2:M$999, "&lt;"&amp;M344)+1&lt;=8, 10-(COUNTIFS(C$2:C$999, C344, H$2:H$999, H344, M$2:M$999, "&lt;"&amp;M344)+1)-1, "")))</f>
        <v>0</v>
      </c>
      <c r="Q344" s="3">
        <f>IF(AND(N344&lt;&gt;"", O344&lt;&gt;""), 1, "")</f>
        <v>0</v>
      </c>
    </row>
    <row r="345" spans="1:17">
      <c r="A345">
        <v>344</v>
      </c>
      <c r="B345" t="s">
        <v>34</v>
      </c>
      <c r="C345" t="s">
        <v>58</v>
      </c>
      <c r="D345" t="s">
        <v>66</v>
      </c>
      <c r="E345" t="s">
        <v>73</v>
      </c>
      <c r="F345" t="s">
        <v>334</v>
      </c>
      <c r="G345" t="s">
        <v>392</v>
      </c>
      <c r="H345" t="s">
        <v>406</v>
      </c>
      <c r="I345" t="s">
        <v>661</v>
      </c>
      <c r="M345" s="1">
        <f>AVERAGE(J345:L345)</f>
        <v>0</v>
      </c>
      <c r="N345" s="1">
        <f>M345</f>
        <v>0</v>
      </c>
      <c r="P345" s="3">
        <f>IF(OR(H345="O", NOT(ISNUMBER(M345))), "", IF(COUNTIFS(C$2:C$999, C345, H$2:H$999, H345, M$2:M$999, "&lt;"&amp;M345)+1=1, 9, IF(COUNTIFS(C$2:C$999, C345, H$2:H$999, H345, M$2:M$999, "&lt;"&amp;M345)+1&lt;=8, 10-(COUNTIFS(C$2:C$999, C345, H$2:H$999, H345, M$2:M$999, "&lt;"&amp;M345)+1)-1, "")))</f>
        <v>0</v>
      </c>
      <c r="Q345" s="3">
        <f>IF(AND(N345&lt;&gt;"", O345&lt;&gt;""), 1, "")</f>
        <v>0</v>
      </c>
    </row>
    <row r="346" spans="1:17">
      <c r="A346">
        <v>345</v>
      </c>
      <c r="B346" t="s">
        <v>34</v>
      </c>
      <c r="C346" t="s">
        <v>58</v>
      </c>
      <c r="D346" t="s">
        <v>66</v>
      </c>
      <c r="E346" t="s">
        <v>74</v>
      </c>
      <c r="F346" t="s">
        <v>109</v>
      </c>
      <c r="G346" t="s">
        <v>402</v>
      </c>
      <c r="H346" t="s">
        <v>405</v>
      </c>
      <c r="I346" t="s">
        <v>436</v>
      </c>
      <c r="M346" s="1">
        <f>AVERAGE(J346:L346)</f>
        <v>0</v>
      </c>
      <c r="N346" s="1">
        <f>M346</f>
        <v>0</v>
      </c>
      <c r="P346" s="3">
        <f>IF(OR(H346="O", NOT(ISNUMBER(M346))), "", IF(COUNTIFS(C$2:C$999, C346, H$2:H$999, H346, M$2:M$999, "&lt;"&amp;M346)+1=1, 9, IF(COUNTIFS(C$2:C$999, C346, H$2:H$999, H346, M$2:M$999, "&lt;"&amp;M346)+1&lt;=8, 10-(COUNTIFS(C$2:C$999, C346, H$2:H$999, H346, M$2:M$999, "&lt;"&amp;M346)+1)-1, "")))</f>
        <v>0</v>
      </c>
      <c r="Q346" s="3">
        <f>IF(AND(N346&lt;&gt;"", O346&lt;&gt;""), 1, "")</f>
        <v>0</v>
      </c>
    </row>
    <row r="347" spans="1:17">
      <c r="A347">
        <v>346</v>
      </c>
      <c r="B347" t="s">
        <v>34</v>
      </c>
      <c r="C347" t="s">
        <v>58</v>
      </c>
      <c r="D347" t="s">
        <v>66</v>
      </c>
      <c r="E347" t="s">
        <v>75</v>
      </c>
      <c r="F347" t="s">
        <v>335</v>
      </c>
      <c r="G347" t="s">
        <v>400</v>
      </c>
      <c r="H347" t="s">
        <v>406</v>
      </c>
      <c r="I347" t="s">
        <v>662</v>
      </c>
      <c r="M347" s="1">
        <f>AVERAGE(J347:L347)</f>
        <v>0</v>
      </c>
      <c r="N347" s="1">
        <f>M347</f>
        <v>0</v>
      </c>
      <c r="P347" s="3">
        <f>IF(OR(H347="O", NOT(ISNUMBER(M347))), "", IF(COUNTIFS(C$2:C$999, C347, H$2:H$999, H347, M$2:M$999, "&lt;"&amp;M347)+1=1, 9, IF(COUNTIFS(C$2:C$999, C347, H$2:H$999, H347, M$2:M$999, "&lt;"&amp;M347)+1&lt;=8, 10-(COUNTIFS(C$2:C$999, C347, H$2:H$999, H347, M$2:M$999, "&lt;"&amp;M347)+1)-1, "")))</f>
        <v>0</v>
      </c>
      <c r="Q347" s="3">
        <f>IF(AND(N347&lt;&gt;"", O347&lt;&gt;""), 1, "")</f>
        <v>0</v>
      </c>
    </row>
    <row r="348" spans="1:17">
      <c r="A348">
        <v>347</v>
      </c>
      <c r="B348" t="s">
        <v>34</v>
      </c>
      <c r="C348" t="s">
        <v>58</v>
      </c>
      <c r="D348" t="s">
        <v>66</v>
      </c>
      <c r="E348" t="s">
        <v>76</v>
      </c>
      <c r="F348" t="s">
        <v>311</v>
      </c>
      <c r="G348" t="s">
        <v>401</v>
      </c>
      <c r="H348" t="s">
        <v>406</v>
      </c>
      <c r="I348" t="s">
        <v>638</v>
      </c>
      <c r="M348" s="1">
        <f>AVERAGE(J348:L348)</f>
        <v>0</v>
      </c>
      <c r="N348" s="1">
        <f>M348</f>
        <v>0</v>
      </c>
      <c r="P348" s="3">
        <f>IF(OR(H348="O", NOT(ISNUMBER(M348))), "", IF(COUNTIFS(C$2:C$999, C348, H$2:H$999, H348, M$2:M$999, "&lt;"&amp;M348)+1=1, 9, IF(COUNTIFS(C$2:C$999, C348, H$2:H$999, H348, M$2:M$999, "&lt;"&amp;M348)+1&lt;=8, 10-(COUNTIFS(C$2:C$999, C348, H$2:H$999, H348, M$2:M$999, "&lt;"&amp;M348)+1)-1, "")))</f>
        <v>0</v>
      </c>
      <c r="Q348" s="3">
        <f>IF(AND(N348&lt;&gt;"", O348&lt;&gt;""), 1, "")</f>
        <v>0</v>
      </c>
    </row>
    <row r="349" spans="1:17">
      <c r="A349">
        <v>348</v>
      </c>
      <c r="B349" t="s">
        <v>34</v>
      </c>
      <c r="C349" t="s">
        <v>58</v>
      </c>
      <c r="D349" t="s">
        <v>66</v>
      </c>
      <c r="E349" t="s">
        <v>77</v>
      </c>
      <c r="F349" t="s">
        <v>336</v>
      </c>
      <c r="G349" t="s">
        <v>398</v>
      </c>
      <c r="H349" t="s">
        <v>406</v>
      </c>
      <c r="I349" t="s">
        <v>663</v>
      </c>
      <c r="M349" s="1">
        <f>AVERAGE(J349:L349)</f>
        <v>0</v>
      </c>
      <c r="N349" s="1">
        <f>M349</f>
        <v>0</v>
      </c>
      <c r="P349" s="3">
        <f>IF(OR(H349="O", NOT(ISNUMBER(M349))), "", IF(COUNTIFS(C$2:C$999, C349, H$2:H$999, H349, M$2:M$999, "&lt;"&amp;M349)+1=1, 9, IF(COUNTIFS(C$2:C$999, C349, H$2:H$999, H349, M$2:M$999, "&lt;"&amp;M349)+1&lt;=8, 10-(COUNTIFS(C$2:C$999, C349, H$2:H$999, H349, M$2:M$999, "&lt;"&amp;M349)+1)-1, "")))</f>
        <v>0</v>
      </c>
      <c r="Q349" s="3">
        <f>IF(AND(N349&lt;&gt;"", O349&lt;&gt;""), 1, "")</f>
        <v>0</v>
      </c>
    </row>
    <row r="350" spans="1:17">
      <c r="A350">
        <v>349</v>
      </c>
      <c r="B350" t="s">
        <v>34</v>
      </c>
      <c r="C350" t="s">
        <v>58</v>
      </c>
      <c r="D350" t="s">
        <v>67</v>
      </c>
      <c r="E350" t="s">
        <v>71</v>
      </c>
      <c r="F350" t="s">
        <v>176</v>
      </c>
      <c r="G350" t="s">
        <v>396</v>
      </c>
      <c r="H350" t="s">
        <v>406</v>
      </c>
      <c r="I350" t="s">
        <v>503</v>
      </c>
      <c r="M350" s="1">
        <f>AVERAGE(J350:L350)</f>
        <v>0</v>
      </c>
      <c r="N350" s="1">
        <f>M350</f>
        <v>0</v>
      </c>
      <c r="P350" s="3">
        <f>IF(OR(H350="O", NOT(ISNUMBER(M350))), "", IF(COUNTIFS(C$2:C$999, C350, H$2:H$999, H350, M$2:M$999, "&lt;"&amp;M350)+1=1, 9, IF(COUNTIFS(C$2:C$999, C350, H$2:H$999, H350, M$2:M$999, "&lt;"&amp;M350)+1&lt;=8, 10-(COUNTIFS(C$2:C$999, C350, H$2:H$999, H350, M$2:M$999, "&lt;"&amp;M350)+1)-1, "")))</f>
        <v>0</v>
      </c>
      <c r="Q350" s="3">
        <f>IF(AND(N350&lt;&gt;"", O350&lt;&gt;""), 1, "")</f>
        <v>0</v>
      </c>
    </row>
    <row r="351" spans="1:17">
      <c r="A351">
        <v>350</v>
      </c>
      <c r="B351" t="s">
        <v>34</v>
      </c>
      <c r="C351" t="s">
        <v>58</v>
      </c>
      <c r="D351" t="s">
        <v>67</v>
      </c>
      <c r="E351" t="s">
        <v>72</v>
      </c>
      <c r="F351" t="s">
        <v>337</v>
      </c>
      <c r="G351" t="s">
        <v>399</v>
      </c>
      <c r="H351" t="s">
        <v>406</v>
      </c>
      <c r="I351" t="s">
        <v>664</v>
      </c>
      <c r="M351" s="1">
        <f>AVERAGE(J351:L351)</f>
        <v>0</v>
      </c>
      <c r="N351" s="1">
        <f>M351</f>
        <v>0</v>
      </c>
      <c r="P351" s="3">
        <f>IF(OR(H351="O", NOT(ISNUMBER(M351))), "", IF(COUNTIFS(C$2:C$999, C351, H$2:H$999, H351, M$2:M$999, "&lt;"&amp;M351)+1=1, 9, IF(COUNTIFS(C$2:C$999, C351, H$2:H$999, H351, M$2:M$999, "&lt;"&amp;M351)+1&lt;=8, 10-(COUNTIFS(C$2:C$999, C351, H$2:H$999, H351, M$2:M$999, "&lt;"&amp;M351)+1)-1, "")))</f>
        <v>0</v>
      </c>
      <c r="Q351" s="3">
        <f>IF(AND(N351&lt;&gt;"", O351&lt;&gt;""), 1, "")</f>
        <v>0</v>
      </c>
    </row>
    <row r="352" spans="1:17">
      <c r="A352">
        <v>351</v>
      </c>
      <c r="B352" t="s">
        <v>34</v>
      </c>
      <c r="C352" t="s">
        <v>58</v>
      </c>
      <c r="D352" t="s">
        <v>67</v>
      </c>
      <c r="E352" t="s">
        <v>73</v>
      </c>
      <c r="F352" t="s">
        <v>338</v>
      </c>
      <c r="G352" t="s">
        <v>394</v>
      </c>
      <c r="H352" t="s">
        <v>405</v>
      </c>
      <c r="I352" t="s">
        <v>665</v>
      </c>
      <c r="M352" s="1">
        <f>AVERAGE(J352:L352)</f>
        <v>0</v>
      </c>
      <c r="N352" s="1">
        <f>M352</f>
        <v>0</v>
      </c>
      <c r="P352" s="3">
        <f>IF(OR(H352="O", NOT(ISNUMBER(M352))), "", IF(COUNTIFS(C$2:C$999, C352, H$2:H$999, H352, M$2:M$999, "&lt;"&amp;M352)+1=1, 9, IF(COUNTIFS(C$2:C$999, C352, H$2:H$999, H352, M$2:M$999, "&lt;"&amp;M352)+1&lt;=8, 10-(COUNTIFS(C$2:C$999, C352, H$2:H$999, H352, M$2:M$999, "&lt;"&amp;M352)+1)-1, "")))</f>
        <v>0</v>
      </c>
      <c r="Q352" s="3">
        <f>IF(AND(N352&lt;&gt;"", O352&lt;&gt;""), 1, "")</f>
        <v>0</v>
      </c>
    </row>
    <row r="353" spans="1:17">
      <c r="A353">
        <v>352</v>
      </c>
      <c r="B353" t="s">
        <v>34</v>
      </c>
      <c r="C353" t="s">
        <v>58</v>
      </c>
      <c r="D353" t="s">
        <v>67</v>
      </c>
      <c r="E353" t="s">
        <v>74</v>
      </c>
      <c r="F353" t="s">
        <v>209</v>
      </c>
      <c r="G353" t="s">
        <v>394</v>
      </c>
      <c r="H353" t="s">
        <v>406</v>
      </c>
      <c r="I353" t="s">
        <v>536</v>
      </c>
      <c r="M353" s="1">
        <f>AVERAGE(J353:L353)</f>
        <v>0</v>
      </c>
      <c r="N353" s="1">
        <f>M353</f>
        <v>0</v>
      </c>
      <c r="P353" s="3">
        <f>IF(OR(H353="O", NOT(ISNUMBER(M353))), "", IF(COUNTIFS(C$2:C$999, C353, H$2:H$999, H353, M$2:M$999, "&lt;"&amp;M353)+1=1, 9, IF(COUNTIFS(C$2:C$999, C353, H$2:H$999, H353, M$2:M$999, "&lt;"&amp;M353)+1&lt;=8, 10-(COUNTIFS(C$2:C$999, C353, H$2:H$999, H353, M$2:M$999, "&lt;"&amp;M353)+1)-1, "")))</f>
        <v>0</v>
      </c>
      <c r="Q353" s="3">
        <f>IF(AND(N353&lt;&gt;"", O353&lt;&gt;""), 1, "")</f>
        <v>0</v>
      </c>
    </row>
    <row r="354" spans="1:17">
      <c r="A354">
        <v>353</v>
      </c>
      <c r="B354" t="s">
        <v>34</v>
      </c>
      <c r="C354" t="s">
        <v>58</v>
      </c>
      <c r="D354" t="s">
        <v>67</v>
      </c>
      <c r="E354" t="s">
        <v>75</v>
      </c>
      <c r="F354" t="s">
        <v>114</v>
      </c>
      <c r="G354" t="s">
        <v>394</v>
      </c>
      <c r="H354" t="s">
        <v>405</v>
      </c>
      <c r="I354" t="s">
        <v>441</v>
      </c>
      <c r="M354" s="1">
        <f>AVERAGE(J354:L354)</f>
        <v>0</v>
      </c>
      <c r="N354" s="1">
        <f>M354</f>
        <v>0</v>
      </c>
      <c r="P354" s="3">
        <f>IF(OR(H354="O", NOT(ISNUMBER(M354))), "", IF(COUNTIFS(C$2:C$999, C354, H$2:H$999, H354, M$2:M$999, "&lt;"&amp;M354)+1=1, 9, IF(COUNTIFS(C$2:C$999, C354, H$2:H$999, H354, M$2:M$999, "&lt;"&amp;M354)+1&lt;=8, 10-(COUNTIFS(C$2:C$999, C354, H$2:H$999, H354, M$2:M$999, "&lt;"&amp;M354)+1)-1, "")))</f>
        <v>0</v>
      </c>
      <c r="Q354" s="3">
        <f>IF(AND(N354&lt;&gt;"", O354&lt;&gt;""), 1, "")</f>
        <v>0</v>
      </c>
    </row>
    <row r="355" spans="1:17">
      <c r="A355">
        <v>354</v>
      </c>
      <c r="B355" t="s">
        <v>34</v>
      </c>
      <c r="C355" t="s">
        <v>58</v>
      </c>
      <c r="D355" t="s">
        <v>67</v>
      </c>
      <c r="E355" t="s">
        <v>76</v>
      </c>
      <c r="F355" t="s">
        <v>210</v>
      </c>
      <c r="G355" t="s">
        <v>394</v>
      </c>
      <c r="H355" t="s">
        <v>405</v>
      </c>
      <c r="I355" t="s">
        <v>537</v>
      </c>
      <c r="M355" s="1">
        <f>AVERAGE(J355:L355)</f>
        <v>0</v>
      </c>
      <c r="N355" s="1">
        <f>M355</f>
        <v>0</v>
      </c>
      <c r="P355" s="3">
        <f>IF(OR(H355="O", NOT(ISNUMBER(M355))), "", IF(COUNTIFS(C$2:C$999, C355, H$2:H$999, H355, M$2:M$999, "&lt;"&amp;M355)+1=1, 9, IF(COUNTIFS(C$2:C$999, C355, H$2:H$999, H355, M$2:M$999, "&lt;"&amp;M355)+1&lt;=8, 10-(COUNTIFS(C$2:C$999, C355, H$2:H$999, H355, M$2:M$999, "&lt;"&amp;M355)+1)-1, "")))</f>
        <v>0</v>
      </c>
      <c r="Q355" s="3">
        <f>IF(AND(N355&lt;&gt;"", O355&lt;&gt;""), 1, "")</f>
        <v>0</v>
      </c>
    </row>
    <row r="356" spans="1:17">
      <c r="A356">
        <v>355</v>
      </c>
      <c r="B356" t="s">
        <v>34</v>
      </c>
      <c r="C356" t="s">
        <v>58</v>
      </c>
      <c r="D356" t="s">
        <v>67</v>
      </c>
      <c r="E356" t="s">
        <v>77</v>
      </c>
      <c r="F356" t="s">
        <v>108</v>
      </c>
      <c r="G356" t="s">
        <v>402</v>
      </c>
      <c r="H356" t="s">
        <v>406</v>
      </c>
      <c r="I356" t="s">
        <v>435</v>
      </c>
      <c r="M356" s="1">
        <f>AVERAGE(J356:L356)</f>
        <v>0</v>
      </c>
      <c r="N356" s="1">
        <f>M356</f>
        <v>0</v>
      </c>
      <c r="P356" s="3">
        <f>IF(OR(H356="O", NOT(ISNUMBER(M356))), "", IF(COUNTIFS(C$2:C$999, C356, H$2:H$999, H356, M$2:M$999, "&lt;"&amp;M356)+1=1, 9, IF(COUNTIFS(C$2:C$999, C356, H$2:H$999, H356, M$2:M$999, "&lt;"&amp;M356)+1&lt;=8, 10-(COUNTIFS(C$2:C$999, C356, H$2:H$999, H356, M$2:M$999, "&lt;"&amp;M356)+1)-1, "")))</f>
        <v>0</v>
      </c>
      <c r="Q356" s="3">
        <f>IF(AND(N356&lt;&gt;"", O356&lt;&gt;""), 1, "")</f>
        <v>0</v>
      </c>
    </row>
    <row r="357" spans="1:17">
      <c r="A357">
        <v>356</v>
      </c>
      <c r="B357" t="s">
        <v>35</v>
      </c>
      <c r="C357" t="s">
        <v>59</v>
      </c>
      <c r="D357" t="s">
        <v>65</v>
      </c>
      <c r="E357" t="s">
        <v>72</v>
      </c>
      <c r="F357" t="s">
        <v>81</v>
      </c>
      <c r="G357" t="s">
        <v>404</v>
      </c>
      <c r="H357" t="s">
        <v>390</v>
      </c>
      <c r="I357" t="s">
        <v>408</v>
      </c>
      <c r="M357" s="1">
        <f>AVERAGE(J357:L357)</f>
        <v>0</v>
      </c>
      <c r="N357" s="1">
        <f>M357</f>
        <v>0</v>
      </c>
      <c r="P357" s="3">
        <f>IF(OR(H357="O", NOT(ISNUMBER(M357))), "", IF(COUNTIFS(C$2:C$999, C357, H$2:H$999, H357, M$2:M$999, "&lt;"&amp;M357)+1=1, 9, IF(COUNTIFS(C$2:C$999, C357, H$2:H$999, H357, M$2:M$999, "&lt;"&amp;M357)+1&lt;=8, 10-(COUNTIFS(C$2:C$999, C357, H$2:H$999, H357, M$2:M$999, "&lt;"&amp;M357)+1)-1, "")))</f>
        <v>0</v>
      </c>
      <c r="Q357" s="3">
        <f>IF(AND(N357&lt;&gt;"", O357&lt;&gt;""), 1, "")</f>
        <v>0</v>
      </c>
    </row>
    <row r="358" spans="1:17">
      <c r="A358">
        <v>357</v>
      </c>
      <c r="B358" t="s">
        <v>35</v>
      </c>
      <c r="C358" t="s">
        <v>59</v>
      </c>
      <c r="D358" t="s">
        <v>65</v>
      </c>
      <c r="E358" t="s">
        <v>73</v>
      </c>
      <c r="F358" t="s">
        <v>151</v>
      </c>
      <c r="G358" t="s">
        <v>404</v>
      </c>
      <c r="H358" t="s">
        <v>391</v>
      </c>
      <c r="I358" t="s">
        <v>478</v>
      </c>
      <c r="M358" s="1">
        <f>AVERAGE(J358:L358)</f>
        <v>0</v>
      </c>
      <c r="N358" s="1">
        <f>M358</f>
        <v>0</v>
      </c>
      <c r="P358" s="3">
        <f>IF(OR(H358="O", NOT(ISNUMBER(M358))), "", IF(COUNTIFS(C$2:C$999, C358, H$2:H$999, H358, M$2:M$999, "&lt;"&amp;M358)+1=1, 9, IF(COUNTIFS(C$2:C$999, C358, H$2:H$999, H358, M$2:M$999, "&lt;"&amp;M358)+1&lt;=8, 10-(COUNTIFS(C$2:C$999, C358, H$2:H$999, H358, M$2:M$999, "&lt;"&amp;M358)+1)-1, "")))</f>
        <v>0</v>
      </c>
      <c r="Q358" s="3">
        <f>IF(AND(N358&lt;&gt;"", O358&lt;&gt;""), 1, "")</f>
        <v>0</v>
      </c>
    </row>
    <row r="359" spans="1:17">
      <c r="A359">
        <v>358</v>
      </c>
      <c r="B359" t="s">
        <v>35</v>
      </c>
      <c r="C359" t="s">
        <v>59</v>
      </c>
      <c r="D359" t="s">
        <v>65</v>
      </c>
      <c r="E359" t="s">
        <v>74</v>
      </c>
      <c r="F359" t="s">
        <v>339</v>
      </c>
      <c r="G359" t="s">
        <v>404</v>
      </c>
      <c r="H359" t="s">
        <v>393</v>
      </c>
      <c r="I359" t="s">
        <v>666</v>
      </c>
      <c r="M359" s="1">
        <f>AVERAGE(J359:L359)</f>
        <v>0</v>
      </c>
      <c r="N359" s="1">
        <f>M359</f>
        <v>0</v>
      </c>
      <c r="P359" s="3">
        <f>IF(OR(H359="O", NOT(ISNUMBER(M359))), "", IF(COUNTIFS(C$2:C$999, C359, H$2:H$999, H359, M$2:M$999, "&lt;"&amp;M359)+1=1, 9, IF(COUNTIFS(C$2:C$999, C359, H$2:H$999, H359, M$2:M$999, "&lt;"&amp;M359)+1&lt;=8, 10-(COUNTIFS(C$2:C$999, C359, H$2:H$999, H359, M$2:M$999, "&lt;"&amp;M359)+1)-1, "")))</f>
        <v>0</v>
      </c>
      <c r="Q359" s="3">
        <f>IF(AND(N359&lt;&gt;"", O359&lt;&gt;""), 1, "")</f>
        <v>0</v>
      </c>
    </row>
    <row r="360" spans="1:17">
      <c r="A360">
        <v>359</v>
      </c>
      <c r="B360" t="s">
        <v>35</v>
      </c>
      <c r="C360" t="s">
        <v>59</v>
      </c>
      <c r="D360" t="s">
        <v>65</v>
      </c>
      <c r="E360" t="s">
        <v>75</v>
      </c>
      <c r="F360" t="s">
        <v>85</v>
      </c>
      <c r="G360" t="s">
        <v>404</v>
      </c>
      <c r="H360" t="s">
        <v>394</v>
      </c>
      <c r="I360" t="s">
        <v>412</v>
      </c>
      <c r="M360" s="1">
        <f>AVERAGE(J360:L360)</f>
        <v>0</v>
      </c>
      <c r="N360" s="1">
        <f>M360</f>
        <v>0</v>
      </c>
      <c r="P360" s="3">
        <f>IF(OR(H360="O", NOT(ISNUMBER(M360))), "", IF(COUNTIFS(C$2:C$999, C360, H$2:H$999, H360, M$2:M$999, "&lt;"&amp;M360)+1=1, 9, IF(COUNTIFS(C$2:C$999, C360, H$2:H$999, H360, M$2:M$999, "&lt;"&amp;M360)+1&lt;=8, 10-(COUNTIFS(C$2:C$999, C360, H$2:H$999, H360, M$2:M$999, "&lt;"&amp;M360)+1)-1, "")))</f>
        <v>0</v>
      </c>
      <c r="Q360" s="3">
        <f>IF(AND(N360&lt;&gt;"", O360&lt;&gt;""), 1, "")</f>
        <v>0</v>
      </c>
    </row>
    <row r="361" spans="1:17">
      <c r="A361">
        <v>360</v>
      </c>
      <c r="B361" t="s">
        <v>35</v>
      </c>
      <c r="C361" t="s">
        <v>59</v>
      </c>
      <c r="D361" t="s">
        <v>65</v>
      </c>
      <c r="E361" t="s">
        <v>76</v>
      </c>
      <c r="F361" t="s">
        <v>188</v>
      </c>
      <c r="G361" t="s">
        <v>404</v>
      </c>
      <c r="H361" t="s">
        <v>395</v>
      </c>
      <c r="I361" t="s">
        <v>515</v>
      </c>
      <c r="M361" s="1">
        <f>AVERAGE(J361:L361)</f>
        <v>0</v>
      </c>
      <c r="N361" s="1">
        <f>M361</f>
        <v>0</v>
      </c>
      <c r="P361" s="3">
        <f>IF(OR(H361="O", NOT(ISNUMBER(M361))), "", IF(COUNTIFS(C$2:C$999, C361, H$2:H$999, H361, M$2:M$999, "&lt;"&amp;M361)+1=1, 9, IF(COUNTIFS(C$2:C$999, C361, H$2:H$999, H361, M$2:M$999, "&lt;"&amp;M361)+1&lt;=8, 10-(COUNTIFS(C$2:C$999, C361, H$2:H$999, H361, M$2:M$999, "&lt;"&amp;M361)+1)-1, "")))</f>
        <v>0</v>
      </c>
      <c r="Q361" s="3">
        <f>IF(AND(N361&lt;&gt;"", O361&lt;&gt;""), 1, "")</f>
        <v>0</v>
      </c>
    </row>
    <row r="362" spans="1:17">
      <c r="A362">
        <v>361</v>
      </c>
      <c r="B362" t="s">
        <v>35</v>
      </c>
      <c r="C362" t="s">
        <v>59</v>
      </c>
      <c r="D362" t="s">
        <v>65</v>
      </c>
      <c r="E362" t="s">
        <v>77</v>
      </c>
      <c r="F362" t="s">
        <v>340</v>
      </c>
      <c r="G362" t="s">
        <v>404</v>
      </c>
      <c r="H362" t="s">
        <v>396</v>
      </c>
      <c r="I362" t="s">
        <v>667</v>
      </c>
      <c r="M362" s="1">
        <f>AVERAGE(J362:L362)</f>
        <v>0</v>
      </c>
      <c r="N362" s="1">
        <f>M362</f>
        <v>0</v>
      </c>
      <c r="P362" s="3">
        <f>IF(OR(H362="O", NOT(ISNUMBER(M362))), "", IF(COUNTIFS(C$2:C$999, C362, H$2:H$999, H362, M$2:M$999, "&lt;"&amp;M362)+1=1, 9, IF(COUNTIFS(C$2:C$999, C362, H$2:H$999, H362, M$2:M$999, "&lt;"&amp;M362)+1&lt;=8, 10-(COUNTIFS(C$2:C$999, C362, H$2:H$999, H362, M$2:M$999, "&lt;"&amp;M362)+1)-1, "")))</f>
        <v>0</v>
      </c>
      <c r="Q362" s="3">
        <f>IF(AND(N362&lt;&gt;"", O362&lt;&gt;""), 1, "")</f>
        <v>0</v>
      </c>
    </row>
    <row r="363" spans="1:17">
      <c r="A363">
        <v>362</v>
      </c>
      <c r="B363" t="s">
        <v>35</v>
      </c>
      <c r="C363" t="s">
        <v>59</v>
      </c>
      <c r="D363" t="s">
        <v>66</v>
      </c>
      <c r="E363" t="s">
        <v>71</v>
      </c>
      <c r="F363" t="s">
        <v>341</v>
      </c>
      <c r="G363" t="s">
        <v>406</v>
      </c>
      <c r="H363" t="s">
        <v>398</v>
      </c>
      <c r="I363" t="s">
        <v>668</v>
      </c>
      <c r="M363" s="1">
        <f>AVERAGE(J363:L363)</f>
        <v>0</v>
      </c>
      <c r="N363" s="1">
        <f>M363</f>
        <v>0</v>
      </c>
      <c r="P363" s="3">
        <f>IF(OR(H363="O", NOT(ISNUMBER(M363))), "", IF(COUNTIFS(C$2:C$999, C363, H$2:H$999, H363, M$2:M$999, "&lt;"&amp;M363)+1=1, 9, IF(COUNTIFS(C$2:C$999, C363, H$2:H$999, H363, M$2:M$999, "&lt;"&amp;M363)+1&lt;=8, 10-(COUNTIFS(C$2:C$999, C363, H$2:H$999, H363, M$2:M$999, "&lt;"&amp;M363)+1)-1, "")))</f>
        <v>0</v>
      </c>
      <c r="Q363" s="3">
        <f>IF(AND(N363&lt;&gt;"", O363&lt;&gt;""), 1, "")</f>
        <v>0</v>
      </c>
    </row>
    <row r="364" spans="1:17">
      <c r="A364">
        <v>363</v>
      </c>
      <c r="B364" t="s">
        <v>35</v>
      </c>
      <c r="C364" t="s">
        <v>59</v>
      </c>
      <c r="D364" t="s">
        <v>66</v>
      </c>
      <c r="E364" t="s">
        <v>72</v>
      </c>
      <c r="F364" t="s">
        <v>89</v>
      </c>
      <c r="G364" t="s">
        <v>406</v>
      </c>
      <c r="H364" t="s">
        <v>392</v>
      </c>
      <c r="I364" t="s">
        <v>416</v>
      </c>
      <c r="M364" s="1">
        <f>AVERAGE(J364:L364)</f>
        <v>0</v>
      </c>
      <c r="N364" s="1">
        <f>M364</f>
        <v>0</v>
      </c>
      <c r="P364" s="3">
        <f>IF(OR(H364="O", NOT(ISNUMBER(M364))), "", IF(COUNTIFS(C$2:C$999, C364, H$2:H$999, H364, M$2:M$999, "&lt;"&amp;M364)+1=1, 9, IF(COUNTIFS(C$2:C$999, C364, H$2:H$999, H364, M$2:M$999, "&lt;"&amp;M364)+1&lt;=8, 10-(COUNTIFS(C$2:C$999, C364, H$2:H$999, H364, M$2:M$999, "&lt;"&amp;M364)+1)-1, "")))</f>
        <v>0</v>
      </c>
      <c r="Q364" s="3">
        <f>IF(AND(N364&lt;&gt;"", O364&lt;&gt;""), 1, "")</f>
        <v>0</v>
      </c>
    </row>
    <row r="365" spans="1:17">
      <c r="A365">
        <v>364</v>
      </c>
      <c r="B365" t="s">
        <v>35</v>
      </c>
      <c r="C365" t="s">
        <v>59</v>
      </c>
      <c r="D365" t="s">
        <v>66</v>
      </c>
      <c r="E365" t="s">
        <v>73</v>
      </c>
      <c r="F365" t="s">
        <v>164</v>
      </c>
      <c r="G365" t="s">
        <v>406</v>
      </c>
      <c r="H365" t="s">
        <v>402</v>
      </c>
      <c r="I365" t="s">
        <v>491</v>
      </c>
      <c r="M365" s="1">
        <f>AVERAGE(J365:L365)</f>
        <v>0</v>
      </c>
      <c r="N365" s="1">
        <f>M365</f>
        <v>0</v>
      </c>
      <c r="P365" s="3">
        <f>IF(OR(H365="O", NOT(ISNUMBER(M365))), "", IF(COUNTIFS(C$2:C$999, C365, H$2:H$999, H365, M$2:M$999, "&lt;"&amp;M365)+1=1, 9, IF(COUNTIFS(C$2:C$999, C365, H$2:H$999, H365, M$2:M$999, "&lt;"&amp;M365)+1&lt;=8, 10-(COUNTIFS(C$2:C$999, C365, H$2:H$999, H365, M$2:M$999, "&lt;"&amp;M365)+1)-1, "")))</f>
        <v>0</v>
      </c>
      <c r="Q365" s="3">
        <f>IF(AND(N365&lt;&gt;"", O365&lt;&gt;""), 1, "")</f>
        <v>0</v>
      </c>
    </row>
    <row r="366" spans="1:17">
      <c r="A366">
        <v>365</v>
      </c>
      <c r="B366" t="s">
        <v>35</v>
      </c>
      <c r="C366" t="s">
        <v>59</v>
      </c>
      <c r="D366" t="s">
        <v>66</v>
      </c>
      <c r="E366" t="s">
        <v>74</v>
      </c>
      <c r="F366" t="s">
        <v>94</v>
      </c>
      <c r="G366" t="s">
        <v>406</v>
      </c>
      <c r="H366" t="s">
        <v>401</v>
      </c>
      <c r="I366" t="s">
        <v>421</v>
      </c>
      <c r="M366" s="1">
        <f>AVERAGE(J366:L366)</f>
        <v>0</v>
      </c>
      <c r="N366" s="1">
        <f>M366</f>
        <v>0</v>
      </c>
      <c r="P366" s="3">
        <f>IF(OR(H366="O", NOT(ISNUMBER(M366))), "", IF(COUNTIFS(C$2:C$999, C366, H$2:H$999, H366, M$2:M$999, "&lt;"&amp;M366)+1=1, 9, IF(COUNTIFS(C$2:C$999, C366, H$2:H$999, H366, M$2:M$999, "&lt;"&amp;M366)+1&lt;=8, 10-(COUNTIFS(C$2:C$999, C366, H$2:H$999, H366, M$2:M$999, "&lt;"&amp;M366)+1)-1, "")))</f>
        <v>0</v>
      </c>
      <c r="Q366" s="3">
        <f>IF(AND(N366&lt;&gt;"", O366&lt;&gt;""), 1, "")</f>
        <v>0</v>
      </c>
    </row>
    <row r="367" spans="1:17">
      <c r="A367">
        <v>366</v>
      </c>
      <c r="B367" t="s">
        <v>35</v>
      </c>
      <c r="C367" t="s">
        <v>59</v>
      </c>
      <c r="D367" t="s">
        <v>66</v>
      </c>
      <c r="E367" t="s">
        <v>75</v>
      </c>
      <c r="F367" t="s">
        <v>92</v>
      </c>
      <c r="G367" t="s">
        <v>406</v>
      </c>
      <c r="H367" t="s">
        <v>400</v>
      </c>
      <c r="I367" t="s">
        <v>419</v>
      </c>
      <c r="M367" s="1">
        <f>AVERAGE(J367:L367)</f>
        <v>0</v>
      </c>
      <c r="N367" s="1">
        <f>M367</f>
        <v>0</v>
      </c>
      <c r="P367" s="3">
        <f>IF(OR(H367="O", NOT(ISNUMBER(M367))), "", IF(COUNTIFS(C$2:C$999, C367, H$2:H$999, H367, M$2:M$999, "&lt;"&amp;M367)+1=1, 9, IF(COUNTIFS(C$2:C$999, C367, H$2:H$999, H367, M$2:M$999, "&lt;"&amp;M367)+1&lt;=8, 10-(COUNTIFS(C$2:C$999, C367, H$2:H$999, H367, M$2:M$999, "&lt;"&amp;M367)+1)-1, "")))</f>
        <v>0</v>
      </c>
      <c r="Q367" s="3">
        <f>IF(AND(N367&lt;&gt;"", O367&lt;&gt;""), 1, "")</f>
        <v>0</v>
      </c>
    </row>
    <row r="368" spans="1:17">
      <c r="A368">
        <v>367</v>
      </c>
      <c r="B368" t="s">
        <v>35</v>
      </c>
      <c r="C368" t="s">
        <v>59</v>
      </c>
      <c r="D368" t="s">
        <v>66</v>
      </c>
      <c r="E368" t="s">
        <v>76</v>
      </c>
      <c r="F368" t="s">
        <v>342</v>
      </c>
      <c r="G368" t="s">
        <v>406</v>
      </c>
      <c r="H368" t="s">
        <v>394</v>
      </c>
      <c r="I368" t="s">
        <v>669</v>
      </c>
      <c r="M368" s="1">
        <f>AVERAGE(J368:L368)</f>
        <v>0</v>
      </c>
      <c r="N368" s="1">
        <f>M368</f>
        <v>0</v>
      </c>
      <c r="P368" s="3">
        <f>IF(OR(H368="O", NOT(ISNUMBER(M368))), "", IF(COUNTIFS(C$2:C$999, C368, H$2:H$999, H368, M$2:M$999, "&lt;"&amp;M368)+1=1, 9, IF(COUNTIFS(C$2:C$999, C368, H$2:H$999, H368, M$2:M$999, "&lt;"&amp;M368)+1&lt;=8, 10-(COUNTIFS(C$2:C$999, C368, H$2:H$999, H368, M$2:M$999, "&lt;"&amp;M368)+1)-1, "")))</f>
        <v>0</v>
      </c>
      <c r="Q368" s="3">
        <f>IF(AND(N368&lt;&gt;"", O368&lt;&gt;""), 1, "")</f>
        <v>0</v>
      </c>
    </row>
    <row r="369" spans="1:17">
      <c r="A369">
        <v>368</v>
      </c>
      <c r="B369" t="s">
        <v>35</v>
      </c>
      <c r="C369" t="s">
        <v>59</v>
      </c>
      <c r="D369" t="s">
        <v>66</v>
      </c>
      <c r="E369" t="s">
        <v>77</v>
      </c>
      <c r="F369" t="s">
        <v>95</v>
      </c>
      <c r="G369" t="s">
        <v>406</v>
      </c>
      <c r="H369" t="s">
        <v>399</v>
      </c>
      <c r="I369" t="s">
        <v>422</v>
      </c>
      <c r="M369" s="1">
        <f>AVERAGE(J369:L369)</f>
        <v>0</v>
      </c>
      <c r="N369" s="1">
        <f>M369</f>
        <v>0</v>
      </c>
      <c r="P369" s="3">
        <f>IF(OR(H369="O", NOT(ISNUMBER(M369))), "", IF(COUNTIFS(C$2:C$999, C369, H$2:H$999, H369, M$2:M$999, "&lt;"&amp;M369)+1=1, 9, IF(COUNTIFS(C$2:C$999, C369, H$2:H$999, H369, M$2:M$999, "&lt;"&amp;M369)+1&lt;=8, 10-(COUNTIFS(C$2:C$999, C369, H$2:H$999, H369, M$2:M$999, "&lt;"&amp;M369)+1)-1, "")))</f>
        <v>0</v>
      </c>
      <c r="Q369" s="3">
        <f>IF(AND(N369&lt;&gt;"", O369&lt;&gt;""), 1, "")</f>
        <v>0</v>
      </c>
    </row>
    <row r="370" spans="1:17">
      <c r="A370">
        <v>369</v>
      </c>
      <c r="B370" t="s">
        <v>35</v>
      </c>
      <c r="C370" t="s">
        <v>59</v>
      </c>
      <c r="D370" t="s">
        <v>66</v>
      </c>
      <c r="E370" t="s">
        <v>78</v>
      </c>
      <c r="F370" t="s">
        <v>193</v>
      </c>
      <c r="G370" t="s">
        <v>405</v>
      </c>
      <c r="H370" t="s">
        <v>399</v>
      </c>
      <c r="I370" t="s">
        <v>520</v>
      </c>
      <c r="M370" s="1">
        <f>AVERAGE(J370:L370)</f>
        <v>0</v>
      </c>
      <c r="N370" s="1">
        <f>M370</f>
        <v>0</v>
      </c>
      <c r="P370" s="3">
        <f>IF(OR(H370="O", NOT(ISNUMBER(M370))), "", IF(COUNTIFS(C$2:C$999, C370, H$2:H$999, H370, M$2:M$999, "&lt;"&amp;M370)+1=1, 9, IF(COUNTIFS(C$2:C$999, C370, H$2:H$999, H370, M$2:M$999, "&lt;"&amp;M370)+1&lt;=8, 10-(COUNTIFS(C$2:C$999, C370, H$2:H$999, H370, M$2:M$999, "&lt;"&amp;M370)+1)-1, "")))</f>
        <v>0</v>
      </c>
      <c r="Q370" s="3">
        <f>IF(AND(N370&lt;&gt;"", O370&lt;&gt;""), 1, "")</f>
        <v>0</v>
      </c>
    </row>
    <row r="371" spans="1:17">
      <c r="A371">
        <v>370</v>
      </c>
      <c r="B371" t="s">
        <v>36</v>
      </c>
      <c r="C371" t="s">
        <v>60</v>
      </c>
      <c r="D371" t="s">
        <v>65</v>
      </c>
      <c r="E371" t="s">
        <v>71</v>
      </c>
      <c r="F371" t="s">
        <v>343</v>
      </c>
      <c r="G371" t="s">
        <v>393</v>
      </c>
      <c r="H371" t="s">
        <v>404</v>
      </c>
      <c r="I371" t="s">
        <v>670</v>
      </c>
      <c r="M371" s="1">
        <f>AVERAGE(J371:L371)</f>
        <v>0</v>
      </c>
      <c r="N371" s="1">
        <f>M371</f>
        <v>0</v>
      </c>
      <c r="P371" s="3">
        <f>IF(OR(H371="O", NOT(ISNUMBER(M371))), "", IF(COUNTIFS(C$2:C$999, C371, H$2:H$999, H371, M$2:M$999, "&lt;"&amp;M371)+1=1, 9, IF(COUNTIFS(C$2:C$999, C371, H$2:H$999, H371, M$2:M$999, "&lt;"&amp;M371)+1&lt;=8, 10-(COUNTIFS(C$2:C$999, C371, H$2:H$999, H371, M$2:M$999, "&lt;"&amp;M371)+1)-1, "")))</f>
        <v>0</v>
      </c>
      <c r="Q371" s="3">
        <f>IF(AND(N371&lt;&gt;"", O371&lt;&gt;""), 1, "")</f>
        <v>0</v>
      </c>
    </row>
    <row r="372" spans="1:17">
      <c r="A372">
        <v>371</v>
      </c>
      <c r="B372" t="s">
        <v>36</v>
      </c>
      <c r="C372" t="s">
        <v>60</v>
      </c>
      <c r="D372" t="s">
        <v>65</v>
      </c>
      <c r="E372" t="s">
        <v>72</v>
      </c>
      <c r="F372" t="s">
        <v>169</v>
      </c>
      <c r="G372" t="s">
        <v>391</v>
      </c>
      <c r="H372" t="s">
        <v>404</v>
      </c>
      <c r="I372" t="s">
        <v>496</v>
      </c>
      <c r="M372" s="1">
        <f>AVERAGE(J372:L372)</f>
        <v>0</v>
      </c>
      <c r="N372" s="1">
        <f>M372</f>
        <v>0</v>
      </c>
      <c r="P372" s="3">
        <f>IF(OR(H372="O", NOT(ISNUMBER(M372))), "", IF(COUNTIFS(C$2:C$999, C372, H$2:H$999, H372, M$2:M$999, "&lt;"&amp;M372)+1=1, 9, IF(COUNTIFS(C$2:C$999, C372, H$2:H$999, H372, M$2:M$999, "&lt;"&amp;M372)+1&lt;=8, 10-(COUNTIFS(C$2:C$999, C372, H$2:H$999, H372, M$2:M$999, "&lt;"&amp;M372)+1)-1, "")))</f>
        <v>0</v>
      </c>
      <c r="Q372" s="3">
        <f>IF(AND(N372&lt;&gt;"", O372&lt;&gt;""), 1, "")</f>
        <v>0</v>
      </c>
    </row>
    <row r="373" spans="1:17">
      <c r="A373">
        <v>372</v>
      </c>
      <c r="B373" t="s">
        <v>36</v>
      </c>
      <c r="C373" t="s">
        <v>60</v>
      </c>
      <c r="D373" t="s">
        <v>65</v>
      </c>
      <c r="E373" t="s">
        <v>73</v>
      </c>
      <c r="F373" t="s">
        <v>307</v>
      </c>
      <c r="G373" t="s">
        <v>390</v>
      </c>
      <c r="H373" t="s">
        <v>404</v>
      </c>
      <c r="I373" t="s">
        <v>634</v>
      </c>
      <c r="M373" s="1">
        <f>AVERAGE(J373:L373)</f>
        <v>0</v>
      </c>
      <c r="N373" s="1">
        <f>M373</f>
        <v>0</v>
      </c>
      <c r="P373" s="3">
        <f>IF(OR(H373="O", NOT(ISNUMBER(M373))), "", IF(COUNTIFS(C$2:C$999, C373, H$2:H$999, H373, M$2:M$999, "&lt;"&amp;M373)+1=1, 9, IF(COUNTIFS(C$2:C$999, C373, H$2:H$999, H373, M$2:M$999, "&lt;"&amp;M373)+1&lt;=8, 10-(COUNTIFS(C$2:C$999, C373, H$2:H$999, H373, M$2:M$999, "&lt;"&amp;M373)+1)-1, "")))</f>
        <v>0</v>
      </c>
      <c r="Q373" s="3">
        <f>IF(AND(N373&lt;&gt;"", O373&lt;&gt;""), 1, "")</f>
        <v>0</v>
      </c>
    </row>
    <row r="374" spans="1:17">
      <c r="A374">
        <v>373</v>
      </c>
      <c r="B374" t="s">
        <v>36</v>
      </c>
      <c r="C374" t="s">
        <v>60</v>
      </c>
      <c r="D374" t="s">
        <v>65</v>
      </c>
      <c r="E374" t="s">
        <v>74</v>
      </c>
      <c r="F374" t="s">
        <v>198</v>
      </c>
      <c r="G374" t="s">
        <v>392</v>
      </c>
      <c r="H374" t="s">
        <v>404</v>
      </c>
      <c r="I374" t="s">
        <v>525</v>
      </c>
      <c r="M374" s="1">
        <f>AVERAGE(J374:L374)</f>
        <v>0</v>
      </c>
      <c r="N374" s="1">
        <f>M374</f>
        <v>0</v>
      </c>
      <c r="P374" s="3">
        <f>IF(OR(H374="O", NOT(ISNUMBER(M374))), "", IF(COUNTIFS(C$2:C$999, C374, H$2:H$999, H374, M$2:M$999, "&lt;"&amp;M374)+1=1, 9, IF(COUNTIFS(C$2:C$999, C374, H$2:H$999, H374, M$2:M$999, "&lt;"&amp;M374)+1&lt;=8, 10-(COUNTIFS(C$2:C$999, C374, H$2:H$999, H374, M$2:M$999, "&lt;"&amp;M374)+1)-1, "")))</f>
        <v>0</v>
      </c>
      <c r="Q374" s="3">
        <f>IF(AND(N374&lt;&gt;"", O374&lt;&gt;""), 1, "")</f>
        <v>0</v>
      </c>
    </row>
    <row r="375" spans="1:17">
      <c r="A375">
        <v>374</v>
      </c>
      <c r="B375" t="s">
        <v>36</v>
      </c>
      <c r="C375" t="s">
        <v>60</v>
      </c>
      <c r="D375" t="s">
        <v>65</v>
      </c>
      <c r="E375" t="s">
        <v>75</v>
      </c>
      <c r="F375" t="s">
        <v>100</v>
      </c>
      <c r="G375" t="s">
        <v>394</v>
      </c>
      <c r="H375" t="s">
        <v>404</v>
      </c>
      <c r="I375" t="s">
        <v>427</v>
      </c>
      <c r="M375" s="1">
        <f>AVERAGE(J375:L375)</f>
        <v>0</v>
      </c>
      <c r="N375" s="1">
        <f>M375</f>
        <v>0</v>
      </c>
      <c r="P375" s="3">
        <f>IF(OR(H375="O", NOT(ISNUMBER(M375))), "", IF(COUNTIFS(C$2:C$999, C375, H$2:H$999, H375, M$2:M$999, "&lt;"&amp;M375)+1=1, 9, IF(COUNTIFS(C$2:C$999, C375, H$2:H$999, H375, M$2:M$999, "&lt;"&amp;M375)+1&lt;=8, 10-(COUNTIFS(C$2:C$999, C375, H$2:H$999, H375, M$2:M$999, "&lt;"&amp;M375)+1)-1, "")))</f>
        <v>0</v>
      </c>
      <c r="Q375" s="3">
        <f>IF(AND(N375&lt;&gt;"", O375&lt;&gt;""), 1, "")</f>
        <v>0</v>
      </c>
    </row>
    <row r="376" spans="1:17">
      <c r="A376">
        <v>375</v>
      </c>
      <c r="B376" t="s">
        <v>36</v>
      </c>
      <c r="C376" t="s">
        <v>60</v>
      </c>
      <c r="D376" t="s">
        <v>65</v>
      </c>
      <c r="E376" t="s">
        <v>76</v>
      </c>
      <c r="F376" t="s">
        <v>305</v>
      </c>
      <c r="G376" t="s">
        <v>395</v>
      </c>
      <c r="H376" t="s">
        <v>404</v>
      </c>
      <c r="I376" t="s">
        <v>632</v>
      </c>
      <c r="M376" s="1">
        <f>AVERAGE(J376:L376)</f>
        <v>0</v>
      </c>
      <c r="N376" s="1">
        <f>M376</f>
        <v>0</v>
      </c>
      <c r="P376" s="3">
        <f>IF(OR(H376="O", NOT(ISNUMBER(M376))), "", IF(COUNTIFS(C$2:C$999, C376, H$2:H$999, H376, M$2:M$999, "&lt;"&amp;M376)+1=1, 9, IF(COUNTIFS(C$2:C$999, C376, H$2:H$999, H376, M$2:M$999, "&lt;"&amp;M376)+1&lt;=8, 10-(COUNTIFS(C$2:C$999, C376, H$2:H$999, H376, M$2:M$999, "&lt;"&amp;M376)+1)-1, "")))</f>
        <v>0</v>
      </c>
      <c r="Q376" s="3">
        <f>IF(AND(N376&lt;&gt;"", O376&lt;&gt;""), 1, "")</f>
        <v>0</v>
      </c>
    </row>
    <row r="377" spans="1:17">
      <c r="A377">
        <v>376</v>
      </c>
      <c r="B377" t="s">
        <v>36</v>
      </c>
      <c r="C377" t="s">
        <v>60</v>
      </c>
      <c r="D377" t="s">
        <v>65</v>
      </c>
      <c r="E377" t="s">
        <v>77</v>
      </c>
      <c r="F377" t="s">
        <v>344</v>
      </c>
      <c r="G377" t="s">
        <v>396</v>
      </c>
      <c r="H377" t="s">
        <v>404</v>
      </c>
      <c r="I377" t="s">
        <v>671</v>
      </c>
      <c r="M377" s="1">
        <f>AVERAGE(J377:L377)</f>
        <v>0</v>
      </c>
      <c r="N377" s="1">
        <f>M377</f>
        <v>0</v>
      </c>
      <c r="P377" s="3">
        <f>IF(OR(H377="O", NOT(ISNUMBER(M377))), "", IF(COUNTIFS(C$2:C$999, C377, H$2:H$999, H377, M$2:M$999, "&lt;"&amp;M377)+1=1, 9, IF(COUNTIFS(C$2:C$999, C377, H$2:H$999, H377, M$2:M$999, "&lt;"&amp;M377)+1&lt;=8, 10-(COUNTIFS(C$2:C$999, C377, H$2:H$999, H377, M$2:M$999, "&lt;"&amp;M377)+1)-1, "")))</f>
        <v>0</v>
      </c>
      <c r="Q377" s="3">
        <f>IF(AND(N377&lt;&gt;"", O377&lt;&gt;""), 1, "")</f>
        <v>0</v>
      </c>
    </row>
    <row r="378" spans="1:17">
      <c r="A378">
        <v>377</v>
      </c>
      <c r="B378" t="s">
        <v>36</v>
      </c>
      <c r="C378" t="s">
        <v>60</v>
      </c>
      <c r="D378" t="s">
        <v>66</v>
      </c>
      <c r="E378" t="s">
        <v>71</v>
      </c>
      <c r="F378" t="s">
        <v>345</v>
      </c>
      <c r="G378" t="s">
        <v>394</v>
      </c>
      <c r="H378" t="s">
        <v>405</v>
      </c>
      <c r="I378" t="s">
        <v>672</v>
      </c>
      <c r="M378" s="1">
        <f>AVERAGE(J378:L378)</f>
        <v>0</v>
      </c>
      <c r="N378" s="1">
        <f>M378</f>
        <v>0</v>
      </c>
      <c r="P378" s="3">
        <f>IF(OR(H378="O", NOT(ISNUMBER(M378))), "", IF(COUNTIFS(C$2:C$999, C378, H$2:H$999, H378, M$2:M$999, "&lt;"&amp;M378)+1=1, 9, IF(COUNTIFS(C$2:C$999, C378, H$2:H$999, H378, M$2:M$999, "&lt;"&amp;M378)+1&lt;=8, 10-(COUNTIFS(C$2:C$999, C378, H$2:H$999, H378, M$2:M$999, "&lt;"&amp;M378)+1)-1, "")))</f>
        <v>0</v>
      </c>
      <c r="Q378" s="3">
        <f>IF(AND(N378&lt;&gt;"", O378&lt;&gt;""), 1, "")</f>
        <v>0</v>
      </c>
    </row>
    <row r="379" spans="1:17">
      <c r="A379">
        <v>378</v>
      </c>
      <c r="B379" t="s">
        <v>36</v>
      </c>
      <c r="C379" t="s">
        <v>60</v>
      </c>
      <c r="D379" t="s">
        <v>66</v>
      </c>
      <c r="E379" t="s">
        <v>72</v>
      </c>
      <c r="F379" t="s">
        <v>108</v>
      </c>
      <c r="G379" t="s">
        <v>402</v>
      </c>
      <c r="H379" t="s">
        <v>406</v>
      </c>
      <c r="I379" t="s">
        <v>435</v>
      </c>
      <c r="M379" s="1">
        <f>AVERAGE(J379:L379)</f>
        <v>0</v>
      </c>
      <c r="N379" s="1">
        <f>M379</f>
        <v>0</v>
      </c>
      <c r="P379" s="3">
        <f>IF(OR(H379="O", NOT(ISNUMBER(M379))), "", IF(COUNTIFS(C$2:C$999, C379, H$2:H$999, H379, M$2:M$999, "&lt;"&amp;M379)+1=1, 9, IF(COUNTIFS(C$2:C$999, C379, H$2:H$999, H379, M$2:M$999, "&lt;"&amp;M379)+1&lt;=8, 10-(COUNTIFS(C$2:C$999, C379, H$2:H$999, H379, M$2:M$999, "&lt;"&amp;M379)+1)-1, "")))</f>
        <v>0</v>
      </c>
      <c r="Q379" s="3">
        <f>IF(AND(N379&lt;&gt;"", O379&lt;&gt;""), 1, "")</f>
        <v>0</v>
      </c>
    </row>
    <row r="380" spans="1:17">
      <c r="A380">
        <v>379</v>
      </c>
      <c r="B380" t="s">
        <v>36</v>
      </c>
      <c r="C380" t="s">
        <v>60</v>
      </c>
      <c r="D380" t="s">
        <v>66</v>
      </c>
      <c r="E380" t="s">
        <v>73</v>
      </c>
      <c r="F380" t="s">
        <v>346</v>
      </c>
      <c r="G380" t="s">
        <v>390</v>
      </c>
      <c r="H380" t="s">
        <v>406</v>
      </c>
      <c r="I380" t="s">
        <v>673</v>
      </c>
      <c r="M380" s="1">
        <f>AVERAGE(J380:L380)</f>
        <v>0</v>
      </c>
      <c r="N380" s="1">
        <f>M380</f>
        <v>0</v>
      </c>
      <c r="P380" s="3">
        <f>IF(OR(H380="O", NOT(ISNUMBER(M380))), "", IF(COUNTIFS(C$2:C$999, C380, H$2:H$999, H380, M$2:M$999, "&lt;"&amp;M380)+1=1, 9, IF(COUNTIFS(C$2:C$999, C380, H$2:H$999, H380, M$2:M$999, "&lt;"&amp;M380)+1&lt;=8, 10-(COUNTIFS(C$2:C$999, C380, H$2:H$999, H380, M$2:M$999, "&lt;"&amp;M380)+1)-1, "")))</f>
        <v>0</v>
      </c>
      <c r="Q380" s="3">
        <f>IF(AND(N380&lt;&gt;"", O380&lt;&gt;""), 1, "")</f>
        <v>0</v>
      </c>
    </row>
    <row r="381" spans="1:17">
      <c r="A381">
        <v>380</v>
      </c>
      <c r="B381" t="s">
        <v>36</v>
      </c>
      <c r="C381" t="s">
        <v>60</v>
      </c>
      <c r="D381" t="s">
        <v>66</v>
      </c>
      <c r="E381" t="s">
        <v>74</v>
      </c>
      <c r="F381" t="s">
        <v>347</v>
      </c>
      <c r="G381" t="s">
        <v>391</v>
      </c>
      <c r="H381" t="s">
        <v>406</v>
      </c>
      <c r="I381" t="s">
        <v>674</v>
      </c>
      <c r="M381" s="1">
        <f>AVERAGE(J381:L381)</f>
        <v>0</v>
      </c>
      <c r="N381" s="1">
        <f>M381</f>
        <v>0</v>
      </c>
      <c r="P381" s="3">
        <f>IF(OR(H381="O", NOT(ISNUMBER(M381))), "", IF(COUNTIFS(C$2:C$999, C381, H$2:H$999, H381, M$2:M$999, "&lt;"&amp;M381)+1=1, 9, IF(COUNTIFS(C$2:C$999, C381, H$2:H$999, H381, M$2:M$999, "&lt;"&amp;M381)+1&lt;=8, 10-(COUNTIFS(C$2:C$999, C381, H$2:H$999, H381, M$2:M$999, "&lt;"&amp;M381)+1)-1, "")))</f>
        <v>0</v>
      </c>
      <c r="Q381" s="3">
        <f>IF(AND(N381&lt;&gt;"", O381&lt;&gt;""), 1, "")</f>
        <v>0</v>
      </c>
    </row>
    <row r="382" spans="1:17">
      <c r="A382">
        <v>381</v>
      </c>
      <c r="B382" t="s">
        <v>36</v>
      </c>
      <c r="C382" t="s">
        <v>60</v>
      </c>
      <c r="D382" t="s">
        <v>66</v>
      </c>
      <c r="E382" t="s">
        <v>75</v>
      </c>
      <c r="F382" t="s">
        <v>204</v>
      </c>
      <c r="G382" t="s">
        <v>392</v>
      </c>
      <c r="H382" t="s">
        <v>406</v>
      </c>
      <c r="I382" t="s">
        <v>531</v>
      </c>
      <c r="M382" s="1">
        <f>AVERAGE(J382:L382)</f>
        <v>0</v>
      </c>
      <c r="N382" s="1">
        <f>M382</f>
        <v>0</v>
      </c>
      <c r="P382" s="3">
        <f>IF(OR(H382="O", NOT(ISNUMBER(M382))), "", IF(COUNTIFS(C$2:C$999, C382, H$2:H$999, H382, M$2:M$999, "&lt;"&amp;M382)+1=1, 9, IF(COUNTIFS(C$2:C$999, C382, H$2:H$999, H382, M$2:M$999, "&lt;"&amp;M382)+1&lt;=8, 10-(COUNTIFS(C$2:C$999, C382, H$2:H$999, H382, M$2:M$999, "&lt;"&amp;M382)+1)-1, "")))</f>
        <v>0</v>
      </c>
      <c r="Q382" s="3">
        <f>IF(AND(N382&lt;&gt;"", O382&lt;&gt;""), 1, "")</f>
        <v>0</v>
      </c>
    </row>
    <row r="383" spans="1:17">
      <c r="A383">
        <v>382</v>
      </c>
      <c r="B383" t="s">
        <v>36</v>
      </c>
      <c r="C383" t="s">
        <v>60</v>
      </c>
      <c r="D383" t="s">
        <v>66</v>
      </c>
      <c r="E383" t="s">
        <v>76</v>
      </c>
      <c r="F383" t="s">
        <v>308</v>
      </c>
      <c r="G383" t="s">
        <v>396</v>
      </c>
      <c r="H383" t="s">
        <v>406</v>
      </c>
      <c r="I383" t="s">
        <v>635</v>
      </c>
      <c r="M383" s="1">
        <f>AVERAGE(J383:L383)</f>
        <v>0</v>
      </c>
      <c r="N383" s="1">
        <f>M383</f>
        <v>0</v>
      </c>
      <c r="P383" s="3">
        <f>IF(OR(H383="O", NOT(ISNUMBER(M383))), "", IF(COUNTIFS(C$2:C$999, C383, H$2:H$999, H383, M$2:M$999, "&lt;"&amp;M383)+1=1, 9, IF(COUNTIFS(C$2:C$999, C383, H$2:H$999, H383, M$2:M$999, "&lt;"&amp;M383)+1&lt;=8, 10-(COUNTIFS(C$2:C$999, C383, H$2:H$999, H383, M$2:M$999, "&lt;"&amp;M383)+1)-1, "")))</f>
        <v>0</v>
      </c>
      <c r="Q383" s="3">
        <f>IF(AND(N383&lt;&gt;"", O383&lt;&gt;""), 1, "")</f>
        <v>0</v>
      </c>
    </row>
    <row r="384" spans="1:17">
      <c r="A384">
        <v>383</v>
      </c>
      <c r="B384" t="s">
        <v>36</v>
      </c>
      <c r="C384" t="s">
        <v>60</v>
      </c>
      <c r="D384" t="s">
        <v>66</v>
      </c>
      <c r="E384" t="s">
        <v>77</v>
      </c>
      <c r="F384" t="s">
        <v>338</v>
      </c>
      <c r="G384" t="s">
        <v>394</v>
      </c>
      <c r="H384" t="s">
        <v>405</v>
      </c>
      <c r="I384" t="s">
        <v>665</v>
      </c>
      <c r="M384" s="1">
        <f>AVERAGE(J384:L384)</f>
        <v>0</v>
      </c>
      <c r="N384" s="1">
        <f>M384</f>
        <v>0</v>
      </c>
      <c r="P384" s="3">
        <f>IF(OR(H384="O", NOT(ISNUMBER(M384))), "", IF(COUNTIFS(C$2:C$999, C384, H$2:H$999, H384, M$2:M$999, "&lt;"&amp;M384)+1=1, 9, IF(COUNTIFS(C$2:C$999, C384, H$2:H$999, H384, M$2:M$999, "&lt;"&amp;M384)+1&lt;=8, 10-(COUNTIFS(C$2:C$999, C384, H$2:H$999, H384, M$2:M$999, "&lt;"&amp;M384)+1)-1, "")))</f>
        <v>0</v>
      </c>
      <c r="Q384" s="3">
        <f>IF(AND(N384&lt;&gt;"", O384&lt;&gt;""), 1, "")</f>
        <v>0</v>
      </c>
    </row>
    <row r="385" spans="1:17">
      <c r="A385">
        <v>384</v>
      </c>
      <c r="B385" t="s">
        <v>36</v>
      </c>
      <c r="C385" t="s">
        <v>60</v>
      </c>
      <c r="D385" t="s">
        <v>67</v>
      </c>
      <c r="E385" t="s">
        <v>71</v>
      </c>
      <c r="F385" t="s">
        <v>106</v>
      </c>
      <c r="G385" t="s">
        <v>399</v>
      </c>
      <c r="H385" t="s">
        <v>405</v>
      </c>
      <c r="I385" t="s">
        <v>433</v>
      </c>
      <c r="M385" s="1">
        <f>AVERAGE(J385:L385)</f>
        <v>0</v>
      </c>
      <c r="N385" s="1">
        <f>M385</f>
        <v>0</v>
      </c>
      <c r="P385" s="3">
        <f>IF(OR(H385="O", NOT(ISNUMBER(M385))), "", IF(COUNTIFS(C$2:C$999, C385, H$2:H$999, H385, M$2:M$999, "&lt;"&amp;M385)+1=1, 9, IF(COUNTIFS(C$2:C$999, C385, H$2:H$999, H385, M$2:M$999, "&lt;"&amp;M385)+1&lt;=8, 10-(COUNTIFS(C$2:C$999, C385, H$2:H$999, H385, M$2:M$999, "&lt;"&amp;M385)+1)-1, "")))</f>
        <v>0</v>
      </c>
      <c r="Q385" s="3">
        <f>IF(AND(N385&lt;&gt;"", O385&lt;&gt;""), 1, "")</f>
        <v>0</v>
      </c>
    </row>
    <row r="386" spans="1:17">
      <c r="A386">
        <v>385</v>
      </c>
      <c r="B386" t="s">
        <v>36</v>
      </c>
      <c r="C386" t="s">
        <v>60</v>
      </c>
      <c r="D386" t="s">
        <v>67</v>
      </c>
      <c r="E386" t="s">
        <v>72</v>
      </c>
      <c r="F386" t="s">
        <v>335</v>
      </c>
      <c r="G386" t="s">
        <v>400</v>
      </c>
      <c r="H386" t="s">
        <v>406</v>
      </c>
      <c r="I386" t="s">
        <v>662</v>
      </c>
      <c r="M386" s="1">
        <f>AVERAGE(J386:L386)</f>
        <v>0</v>
      </c>
      <c r="N386" s="1">
        <f>M386</f>
        <v>0</v>
      </c>
      <c r="P386" s="3">
        <f>IF(OR(H386="O", NOT(ISNUMBER(M386))), "", IF(COUNTIFS(C$2:C$999, C386, H$2:H$999, H386, M$2:M$999, "&lt;"&amp;M386)+1=1, 9, IF(COUNTIFS(C$2:C$999, C386, H$2:H$999, H386, M$2:M$999, "&lt;"&amp;M386)+1&lt;=8, 10-(COUNTIFS(C$2:C$999, C386, H$2:H$999, H386, M$2:M$999, "&lt;"&amp;M386)+1)-1, "")))</f>
        <v>0</v>
      </c>
      <c r="Q386" s="3">
        <f>IF(AND(N386&lt;&gt;"", O386&lt;&gt;""), 1, "")</f>
        <v>0</v>
      </c>
    </row>
    <row r="387" spans="1:17">
      <c r="A387">
        <v>386</v>
      </c>
      <c r="B387" t="s">
        <v>36</v>
      </c>
      <c r="C387" t="s">
        <v>60</v>
      </c>
      <c r="D387" t="s">
        <v>67</v>
      </c>
      <c r="E387" t="s">
        <v>73</v>
      </c>
      <c r="F387" t="s">
        <v>348</v>
      </c>
      <c r="G387" t="s">
        <v>398</v>
      </c>
      <c r="H387" t="s">
        <v>406</v>
      </c>
      <c r="I387" t="s">
        <v>675</v>
      </c>
      <c r="M387" s="1">
        <f>AVERAGE(J387:L387)</f>
        <v>0</v>
      </c>
      <c r="N387" s="1">
        <f>M387</f>
        <v>0</v>
      </c>
      <c r="P387" s="3">
        <f>IF(OR(H387="O", NOT(ISNUMBER(M387))), "", IF(COUNTIFS(C$2:C$999, C387, H$2:H$999, H387, M$2:M$999, "&lt;"&amp;M387)+1=1, 9, IF(COUNTIFS(C$2:C$999, C387, H$2:H$999, H387, M$2:M$999, "&lt;"&amp;M387)+1&lt;=8, 10-(COUNTIFS(C$2:C$999, C387, H$2:H$999, H387, M$2:M$999, "&lt;"&amp;M387)+1)-1, "")))</f>
        <v>0</v>
      </c>
      <c r="Q387" s="3">
        <f>IF(AND(N387&lt;&gt;"", O387&lt;&gt;""), 1, "")</f>
        <v>0</v>
      </c>
    </row>
    <row r="388" spans="1:17">
      <c r="A388">
        <v>387</v>
      </c>
      <c r="B388" t="s">
        <v>36</v>
      </c>
      <c r="C388" t="s">
        <v>60</v>
      </c>
      <c r="D388" t="s">
        <v>67</v>
      </c>
      <c r="E388" t="s">
        <v>74</v>
      </c>
      <c r="F388" t="s">
        <v>349</v>
      </c>
      <c r="G388" t="s">
        <v>394</v>
      </c>
      <c r="H388" t="s">
        <v>406</v>
      </c>
      <c r="I388" t="s">
        <v>676</v>
      </c>
      <c r="M388" s="1">
        <f>AVERAGE(J388:L388)</f>
        <v>0</v>
      </c>
      <c r="N388" s="1">
        <f>M388</f>
        <v>0</v>
      </c>
      <c r="P388" s="3">
        <f>IF(OR(H388="O", NOT(ISNUMBER(M388))), "", IF(COUNTIFS(C$2:C$999, C388, H$2:H$999, H388, M$2:M$999, "&lt;"&amp;M388)+1=1, 9, IF(COUNTIFS(C$2:C$999, C388, H$2:H$999, H388, M$2:M$999, "&lt;"&amp;M388)+1&lt;=8, 10-(COUNTIFS(C$2:C$999, C388, H$2:H$999, H388, M$2:M$999, "&lt;"&amp;M388)+1)-1, "")))</f>
        <v>0</v>
      </c>
      <c r="Q388" s="3">
        <f>IF(AND(N388&lt;&gt;"", O388&lt;&gt;""), 1, "")</f>
        <v>0</v>
      </c>
    </row>
    <row r="389" spans="1:17">
      <c r="A389">
        <v>388</v>
      </c>
      <c r="B389" t="s">
        <v>36</v>
      </c>
      <c r="C389" t="s">
        <v>60</v>
      </c>
      <c r="D389" t="s">
        <v>67</v>
      </c>
      <c r="E389" t="s">
        <v>75</v>
      </c>
      <c r="F389" t="s">
        <v>115</v>
      </c>
      <c r="G389" t="s">
        <v>399</v>
      </c>
      <c r="H389" t="s">
        <v>406</v>
      </c>
      <c r="I389" t="s">
        <v>442</v>
      </c>
      <c r="M389" s="1">
        <f>AVERAGE(J389:L389)</f>
        <v>0</v>
      </c>
      <c r="N389" s="1">
        <f>M389</f>
        <v>0</v>
      </c>
      <c r="P389" s="3">
        <f>IF(OR(H389="O", NOT(ISNUMBER(M389))), "", IF(COUNTIFS(C$2:C$999, C389, H$2:H$999, H389, M$2:M$999, "&lt;"&amp;M389)+1=1, 9, IF(COUNTIFS(C$2:C$999, C389, H$2:H$999, H389, M$2:M$999, "&lt;"&amp;M389)+1&lt;=8, 10-(COUNTIFS(C$2:C$999, C389, H$2:H$999, H389, M$2:M$999, "&lt;"&amp;M389)+1)-1, "")))</f>
        <v>0</v>
      </c>
      <c r="Q389" s="3">
        <f>IF(AND(N389&lt;&gt;"", O389&lt;&gt;""), 1, "")</f>
        <v>0</v>
      </c>
    </row>
    <row r="390" spans="1:17">
      <c r="A390">
        <v>389</v>
      </c>
      <c r="B390" t="s">
        <v>36</v>
      </c>
      <c r="C390" t="s">
        <v>60</v>
      </c>
      <c r="D390" t="s">
        <v>67</v>
      </c>
      <c r="E390" t="s">
        <v>76</v>
      </c>
      <c r="F390" t="s">
        <v>113</v>
      </c>
      <c r="G390" t="s">
        <v>401</v>
      </c>
      <c r="H390" t="s">
        <v>406</v>
      </c>
      <c r="I390" t="s">
        <v>440</v>
      </c>
      <c r="M390" s="1">
        <f>AVERAGE(J390:L390)</f>
        <v>0</v>
      </c>
      <c r="N390" s="1">
        <f>M390</f>
        <v>0</v>
      </c>
      <c r="P390" s="3">
        <f>IF(OR(H390="O", NOT(ISNUMBER(M390))), "", IF(COUNTIFS(C$2:C$999, C390, H$2:H$999, H390, M$2:M$999, "&lt;"&amp;M390)+1=1, 9, IF(COUNTIFS(C$2:C$999, C390, H$2:H$999, H390, M$2:M$999, "&lt;"&amp;M390)+1&lt;=8, 10-(COUNTIFS(C$2:C$999, C390, H$2:H$999, H390, M$2:M$999, "&lt;"&amp;M390)+1)-1, "")))</f>
        <v>0</v>
      </c>
      <c r="Q390" s="3">
        <f>IF(AND(N390&lt;&gt;"", O390&lt;&gt;""), 1, "")</f>
        <v>0</v>
      </c>
    </row>
    <row r="391" spans="1:17">
      <c r="A391">
        <v>390</v>
      </c>
      <c r="B391" t="s">
        <v>36</v>
      </c>
      <c r="C391" t="s">
        <v>60</v>
      </c>
      <c r="D391" t="s">
        <v>67</v>
      </c>
      <c r="E391" t="s">
        <v>77</v>
      </c>
      <c r="F391" t="s">
        <v>109</v>
      </c>
      <c r="G391" t="s">
        <v>402</v>
      </c>
      <c r="H391" t="s">
        <v>405</v>
      </c>
      <c r="I391" t="s">
        <v>436</v>
      </c>
      <c r="M391" s="1">
        <f>AVERAGE(J391:L391)</f>
        <v>0</v>
      </c>
      <c r="N391" s="1">
        <f>M391</f>
        <v>0</v>
      </c>
      <c r="P391" s="3">
        <f>IF(OR(H391="O", NOT(ISNUMBER(M391))), "", IF(COUNTIFS(C$2:C$999, C391, H$2:H$999, H391, M$2:M$999, "&lt;"&amp;M391)+1=1, 9, IF(COUNTIFS(C$2:C$999, C391, H$2:H$999, H391, M$2:M$999, "&lt;"&amp;M391)+1&lt;=8, 10-(COUNTIFS(C$2:C$999, C391, H$2:H$999, H391, M$2:M$999, "&lt;"&amp;M391)+1)-1, "")))</f>
        <v>0</v>
      </c>
      <c r="Q391" s="3">
        <f>IF(AND(N391&lt;&gt;"", O391&lt;&gt;""), 1, "")</f>
        <v>0</v>
      </c>
    </row>
    <row r="392" spans="1:17">
      <c r="A392">
        <v>391</v>
      </c>
      <c r="B392" t="s">
        <v>37</v>
      </c>
      <c r="C392" t="s">
        <v>61</v>
      </c>
      <c r="D392" t="s">
        <v>65</v>
      </c>
      <c r="E392" t="s">
        <v>71</v>
      </c>
      <c r="F392" t="s">
        <v>350</v>
      </c>
      <c r="G392" t="s">
        <v>391</v>
      </c>
      <c r="H392" t="s">
        <v>404</v>
      </c>
      <c r="I392" t="s">
        <v>677</v>
      </c>
      <c r="M392" s="1">
        <f>AVERAGE(J392:L392)</f>
        <v>0</v>
      </c>
      <c r="N392" s="1">
        <f>M392</f>
        <v>0</v>
      </c>
      <c r="P392" s="3">
        <f>IF(OR(H392="O", NOT(ISNUMBER(M392))), "", IF(COUNTIFS(C$2:C$999, C392, H$2:H$999, H392, M$2:M$999, "&lt;"&amp;M392)+1=1, 9, IF(COUNTIFS(C$2:C$999, C392, H$2:H$999, H392, M$2:M$999, "&lt;"&amp;M392)+1&lt;=8, 10-(COUNTIFS(C$2:C$999, C392, H$2:H$999, H392, M$2:M$999, "&lt;"&amp;M392)+1)-1, "")))</f>
        <v>0</v>
      </c>
      <c r="Q392" s="3">
        <f>IF(AND(N392&lt;&gt;"", O392&lt;&gt;""), 1, "")</f>
        <v>0</v>
      </c>
    </row>
    <row r="393" spans="1:17">
      <c r="A393">
        <v>392</v>
      </c>
      <c r="B393" t="s">
        <v>37</v>
      </c>
      <c r="C393" t="s">
        <v>61</v>
      </c>
      <c r="D393" t="s">
        <v>65</v>
      </c>
      <c r="E393" t="s">
        <v>72</v>
      </c>
      <c r="F393" t="s">
        <v>84</v>
      </c>
      <c r="G393" t="s">
        <v>393</v>
      </c>
      <c r="H393" t="s">
        <v>404</v>
      </c>
      <c r="I393" t="s">
        <v>411</v>
      </c>
      <c r="M393" s="1">
        <f>AVERAGE(J393:L393)</f>
        <v>0</v>
      </c>
      <c r="N393" s="1">
        <f>M393</f>
        <v>0</v>
      </c>
      <c r="P393" s="3">
        <f>IF(OR(H393="O", NOT(ISNUMBER(M393))), "", IF(COUNTIFS(C$2:C$999, C393, H$2:H$999, H393, M$2:M$999, "&lt;"&amp;M393)+1=1, 9, IF(COUNTIFS(C$2:C$999, C393, H$2:H$999, H393, M$2:M$999, "&lt;"&amp;M393)+1&lt;=8, 10-(COUNTIFS(C$2:C$999, C393, H$2:H$999, H393, M$2:M$999, "&lt;"&amp;M393)+1)-1, "")))</f>
        <v>0</v>
      </c>
      <c r="Q393" s="3">
        <f>IF(AND(N393&lt;&gt;"", O393&lt;&gt;""), 1, "")</f>
        <v>0</v>
      </c>
    </row>
    <row r="394" spans="1:17">
      <c r="A394">
        <v>393</v>
      </c>
      <c r="B394" t="s">
        <v>37</v>
      </c>
      <c r="C394" t="s">
        <v>61</v>
      </c>
      <c r="D394" t="s">
        <v>65</v>
      </c>
      <c r="E394" t="s">
        <v>73</v>
      </c>
      <c r="F394" t="s">
        <v>329</v>
      </c>
      <c r="G394" t="s">
        <v>392</v>
      </c>
      <c r="H394" t="s">
        <v>404</v>
      </c>
      <c r="I394" t="s">
        <v>656</v>
      </c>
      <c r="M394" s="1">
        <f>AVERAGE(J394:L394)</f>
        <v>0</v>
      </c>
      <c r="N394" s="1">
        <f>M394</f>
        <v>0</v>
      </c>
      <c r="P394" s="3">
        <f>IF(OR(H394="O", NOT(ISNUMBER(M394))), "", IF(COUNTIFS(C$2:C$999, C394, H$2:H$999, H394, M$2:M$999, "&lt;"&amp;M394)+1=1, 9, IF(COUNTIFS(C$2:C$999, C394, H$2:H$999, H394, M$2:M$999, "&lt;"&amp;M394)+1&lt;=8, 10-(COUNTIFS(C$2:C$999, C394, H$2:H$999, H394, M$2:M$999, "&lt;"&amp;M394)+1)-1, "")))</f>
        <v>0</v>
      </c>
      <c r="Q394" s="3">
        <f>IF(AND(N394&lt;&gt;"", O394&lt;&gt;""), 1, "")</f>
        <v>0</v>
      </c>
    </row>
    <row r="395" spans="1:17">
      <c r="A395">
        <v>394</v>
      </c>
      <c r="B395" t="s">
        <v>37</v>
      </c>
      <c r="C395" t="s">
        <v>61</v>
      </c>
      <c r="D395" t="s">
        <v>65</v>
      </c>
      <c r="E395" t="s">
        <v>74</v>
      </c>
      <c r="F395" t="s">
        <v>85</v>
      </c>
      <c r="G395" t="s">
        <v>394</v>
      </c>
      <c r="H395" t="s">
        <v>404</v>
      </c>
      <c r="I395" t="s">
        <v>412</v>
      </c>
      <c r="M395" s="1">
        <f>AVERAGE(J395:L395)</f>
        <v>0</v>
      </c>
      <c r="N395" s="1">
        <f>M395</f>
        <v>0</v>
      </c>
      <c r="P395" s="3">
        <f>IF(OR(H395="O", NOT(ISNUMBER(M395))), "", IF(COUNTIFS(C$2:C$999, C395, H$2:H$999, H395, M$2:M$999, "&lt;"&amp;M395)+1=1, 9, IF(COUNTIFS(C$2:C$999, C395, H$2:H$999, H395, M$2:M$999, "&lt;"&amp;M395)+1&lt;=8, 10-(COUNTIFS(C$2:C$999, C395, H$2:H$999, H395, M$2:M$999, "&lt;"&amp;M395)+1)-1, "")))</f>
        <v>0</v>
      </c>
      <c r="Q395" s="3">
        <f>IF(AND(N395&lt;&gt;"", O395&lt;&gt;""), 1, "")</f>
        <v>0</v>
      </c>
    </row>
    <row r="396" spans="1:17">
      <c r="A396">
        <v>395</v>
      </c>
      <c r="B396" t="s">
        <v>37</v>
      </c>
      <c r="C396" t="s">
        <v>61</v>
      </c>
      <c r="D396" t="s">
        <v>65</v>
      </c>
      <c r="E396" t="s">
        <v>75</v>
      </c>
      <c r="F396" t="s">
        <v>86</v>
      </c>
      <c r="G396" t="s">
        <v>395</v>
      </c>
      <c r="H396" t="s">
        <v>404</v>
      </c>
      <c r="I396" t="s">
        <v>413</v>
      </c>
      <c r="M396" s="1">
        <f>AVERAGE(J396:L396)</f>
        <v>0</v>
      </c>
      <c r="N396" s="1">
        <f>M396</f>
        <v>0</v>
      </c>
      <c r="P396" s="3">
        <f>IF(OR(H396="O", NOT(ISNUMBER(M396))), "", IF(COUNTIFS(C$2:C$999, C396, H$2:H$999, H396, M$2:M$999, "&lt;"&amp;M396)+1=1, 9, IF(COUNTIFS(C$2:C$999, C396, H$2:H$999, H396, M$2:M$999, "&lt;"&amp;M396)+1&lt;=8, 10-(COUNTIFS(C$2:C$999, C396, H$2:H$999, H396, M$2:M$999, "&lt;"&amp;M396)+1)-1, "")))</f>
        <v>0</v>
      </c>
      <c r="Q396" s="3">
        <f>IF(AND(N396&lt;&gt;"", O396&lt;&gt;""), 1, "")</f>
        <v>0</v>
      </c>
    </row>
    <row r="397" spans="1:17">
      <c r="A397">
        <v>396</v>
      </c>
      <c r="B397" t="s">
        <v>37</v>
      </c>
      <c r="C397" t="s">
        <v>61</v>
      </c>
      <c r="D397" t="s">
        <v>65</v>
      </c>
      <c r="E397" t="s">
        <v>76</v>
      </c>
      <c r="F397" t="s">
        <v>156</v>
      </c>
      <c r="G397" t="s">
        <v>396</v>
      </c>
      <c r="H397" t="s">
        <v>404</v>
      </c>
      <c r="I397" t="s">
        <v>483</v>
      </c>
      <c r="M397" s="1">
        <f>AVERAGE(J397:L397)</f>
        <v>0</v>
      </c>
      <c r="N397" s="1">
        <f>M397</f>
        <v>0</v>
      </c>
      <c r="P397" s="3">
        <f>IF(OR(H397="O", NOT(ISNUMBER(M397))), "", IF(COUNTIFS(C$2:C$999, C397, H$2:H$999, H397, M$2:M$999, "&lt;"&amp;M397)+1=1, 9, IF(COUNTIFS(C$2:C$999, C397, H$2:H$999, H397, M$2:M$999, "&lt;"&amp;M397)+1&lt;=8, 10-(COUNTIFS(C$2:C$999, C397, H$2:H$999, H397, M$2:M$999, "&lt;"&amp;M397)+1)-1, "")))</f>
        <v>0</v>
      </c>
      <c r="Q397" s="3">
        <f>IF(AND(N397&lt;&gt;"", O397&lt;&gt;""), 1, "")</f>
        <v>0</v>
      </c>
    </row>
    <row r="398" spans="1:17">
      <c r="A398">
        <v>397</v>
      </c>
      <c r="B398" t="s">
        <v>37</v>
      </c>
      <c r="C398" t="s">
        <v>61</v>
      </c>
      <c r="D398" t="s">
        <v>65</v>
      </c>
      <c r="E398" t="s">
        <v>77</v>
      </c>
      <c r="F398" t="s">
        <v>351</v>
      </c>
      <c r="G398" t="s">
        <v>390</v>
      </c>
      <c r="H398" t="s">
        <v>404</v>
      </c>
      <c r="I398" t="s">
        <v>678</v>
      </c>
      <c r="M398" s="1">
        <f>AVERAGE(J398:L398)</f>
        <v>0</v>
      </c>
      <c r="N398" s="1">
        <f>M398</f>
        <v>0</v>
      </c>
      <c r="P398" s="3">
        <f>IF(OR(H398="O", NOT(ISNUMBER(M398))), "", IF(COUNTIFS(C$2:C$999, C398, H$2:H$999, H398, M$2:M$999, "&lt;"&amp;M398)+1=1, 9, IF(COUNTIFS(C$2:C$999, C398, H$2:H$999, H398, M$2:M$999, "&lt;"&amp;M398)+1&lt;=8, 10-(COUNTIFS(C$2:C$999, C398, H$2:H$999, H398, M$2:M$999, "&lt;"&amp;M398)+1)-1, "")))</f>
        <v>0</v>
      </c>
      <c r="Q398" s="3">
        <f>IF(AND(N398&lt;&gt;"", O398&lt;&gt;""), 1, "")</f>
        <v>0</v>
      </c>
    </row>
    <row r="399" spans="1:17">
      <c r="A399">
        <v>398</v>
      </c>
      <c r="B399" t="s">
        <v>37</v>
      </c>
      <c r="C399" t="s">
        <v>61</v>
      </c>
      <c r="D399" t="s">
        <v>65</v>
      </c>
      <c r="E399" t="s">
        <v>78</v>
      </c>
      <c r="F399" t="s">
        <v>352</v>
      </c>
      <c r="G399" t="s">
        <v>397</v>
      </c>
      <c r="H399" t="s">
        <v>404</v>
      </c>
      <c r="I399" t="s">
        <v>679</v>
      </c>
      <c r="M399" s="1">
        <f>AVERAGE(J399:L399)</f>
        <v>0</v>
      </c>
      <c r="N399" s="1">
        <f>M399</f>
        <v>0</v>
      </c>
      <c r="P399" s="3">
        <f>IF(OR(H399="O", NOT(ISNUMBER(M399))), "", IF(COUNTIFS(C$2:C$999, C399, H$2:H$999, H399, M$2:M$999, "&lt;"&amp;M399)+1=1, 9, IF(COUNTIFS(C$2:C$999, C399, H$2:H$999, H399, M$2:M$999, "&lt;"&amp;M399)+1&lt;=8, 10-(COUNTIFS(C$2:C$999, C399, H$2:H$999, H399, M$2:M$999, "&lt;"&amp;M399)+1)-1, "")))</f>
        <v>0</v>
      </c>
      <c r="Q399" s="3">
        <f>IF(AND(N399&lt;&gt;"", O399&lt;&gt;""), 1, "")</f>
        <v>0</v>
      </c>
    </row>
    <row r="400" spans="1:17">
      <c r="A400">
        <v>399</v>
      </c>
      <c r="B400" t="s">
        <v>37</v>
      </c>
      <c r="C400" t="s">
        <v>61</v>
      </c>
      <c r="D400" t="s">
        <v>66</v>
      </c>
      <c r="E400" t="s">
        <v>71</v>
      </c>
      <c r="F400" t="s">
        <v>190</v>
      </c>
      <c r="G400" t="s">
        <v>403</v>
      </c>
      <c r="H400" t="s">
        <v>405</v>
      </c>
      <c r="I400" t="s">
        <v>517</v>
      </c>
      <c r="M400" s="1">
        <f>AVERAGE(J400:L400)</f>
        <v>0</v>
      </c>
      <c r="N400" s="1">
        <f>M400</f>
        <v>0</v>
      </c>
      <c r="P400" s="3">
        <f>IF(OR(H400="O", NOT(ISNUMBER(M400))), "", IF(COUNTIFS(C$2:C$999, C400, H$2:H$999, H400, M$2:M$999, "&lt;"&amp;M400)+1=1, 9, IF(COUNTIFS(C$2:C$999, C400, H$2:H$999, H400, M$2:M$999, "&lt;"&amp;M400)+1&lt;=8, 10-(COUNTIFS(C$2:C$999, C400, H$2:H$999, H400, M$2:M$999, "&lt;"&amp;M400)+1)-1, "")))</f>
        <v>0</v>
      </c>
      <c r="Q400" s="3">
        <f>IF(AND(N400&lt;&gt;"", O400&lt;&gt;""), 1, "")</f>
        <v>0</v>
      </c>
    </row>
    <row r="401" spans="1:17">
      <c r="A401">
        <v>400</v>
      </c>
      <c r="B401" t="s">
        <v>37</v>
      </c>
      <c r="C401" t="s">
        <v>61</v>
      </c>
      <c r="D401" t="s">
        <v>66</v>
      </c>
      <c r="E401" t="s">
        <v>72</v>
      </c>
      <c r="F401" t="s">
        <v>353</v>
      </c>
      <c r="G401" t="s">
        <v>400</v>
      </c>
      <c r="H401" t="s">
        <v>406</v>
      </c>
      <c r="I401" t="s">
        <v>680</v>
      </c>
      <c r="M401" s="1">
        <f>AVERAGE(J401:L401)</f>
        <v>0</v>
      </c>
      <c r="N401" s="1">
        <f>M401</f>
        <v>0</v>
      </c>
      <c r="P401" s="3">
        <f>IF(OR(H401="O", NOT(ISNUMBER(M401))), "", IF(COUNTIFS(C$2:C$999, C401, H$2:H$999, H401, M$2:M$999, "&lt;"&amp;M401)+1=1, 9, IF(COUNTIFS(C$2:C$999, C401, H$2:H$999, H401, M$2:M$999, "&lt;"&amp;M401)+1&lt;=8, 10-(COUNTIFS(C$2:C$999, C401, H$2:H$999, H401, M$2:M$999, "&lt;"&amp;M401)+1)-1, "")))</f>
        <v>0</v>
      </c>
      <c r="Q401" s="3">
        <f>IF(AND(N401&lt;&gt;"", O401&lt;&gt;""), 1, "")</f>
        <v>0</v>
      </c>
    </row>
    <row r="402" spans="1:17">
      <c r="A402">
        <v>401</v>
      </c>
      <c r="B402" t="s">
        <v>37</v>
      </c>
      <c r="C402" t="s">
        <v>61</v>
      </c>
      <c r="D402" t="s">
        <v>66</v>
      </c>
      <c r="E402" t="s">
        <v>73</v>
      </c>
      <c r="F402" t="s">
        <v>159</v>
      </c>
      <c r="G402" t="s">
        <v>399</v>
      </c>
      <c r="H402" t="s">
        <v>405</v>
      </c>
      <c r="I402" t="s">
        <v>486</v>
      </c>
      <c r="M402" s="1">
        <f>AVERAGE(J402:L402)</f>
        <v>0</v>
      </c>
      <c r="N402" s="1">
        <f>M402</f>
        <v>0</v>
      </c>
      <c r="P402" s="3">
        <f>IF(OR(H402="O", NOT(ISNUMBER(M402))), "", IF(COUNTIFS(C$2:C$999, C402, H$2:H$999, H402, M$2:M$999, "&lt;"&amp;M402)+1=1, 9, IF(COUNTIFS(C$2:C$999, C402, H$2:H$999, H402, M$2:M$999, "&lt;"&amp;M402)+1&lt;=8, 10-(COUNTIFS(C$2:C$999, C402, H$2:H$999, H402, M$2:M$999, "&lt;"&amp;M402)+1)-1, "")))</f>
        <v>0</v>
      </c>
      <c r="Q402" s="3">
        <f>IF(AND(N402&lt;&gt;"", O402&lt;&gt;""), 1, "")</f>
        <v>0</v>
      </c>
    </row>
    <row r="403" spans="1:17">
      <c r="A403">
        <v>402</v>
      </c>
      <c r="B403" t="s">
        <v>37</v>
      </c>
      <c r="C403" t="s">
        <v>61</v>
      </c>
      <c r="D403" t="s">
        <v>66</v>
      </c>
      <c r="E403" t="s">
        <v>74</v>
      </c>
      <c r="F403" t="s">
        <v>193</v>
      </c>
      <c r="G403" t="s">
        <v>399</v>
      </c>
      <c r="H403" t="s">
        <v>405</v>
      </c>
      <c r="I403" t="s">
        <v>520</v>
      </c>
      <c r="M403" s="1">
        <f>AVERAGE(J403:L403)</f>
        <v>0</v>
      </c>
      <c r="N403" s="1">
        <f>M403</f>
        <v>0</v>
      </c>
      <c r="P403" s="3">
        <f>IF(OR(H403="O", NOT(ISNUMBER(M403))), "", IF(COUNTIFS(C$2:C$999, C403, H$2:H$999, H403, M$2:M$999, "&lt;"&amp;M403)+1=1, 9, IF(COUNTIFS(C$2:C$999, C403, H$2:H$999, H403, M$2:M$999, "&lt;"&amp;M403)+1&lt;=8, 10-(COUNTIFS(C$2:C$999, C403, H$2:H$999, H403, M$2:M$999, "&lt;"&amp;M403)+1)-1, "")))</f>
        <v>0</v>
      </c>
      <c r="Q403" s="3">
        <f>IF(AND(N403&lt;&gt;"", O403&lt;&gt;""), 1, "")</f>
        <v>0</v>
      </c>
    </row>
    <row r="404" spans="1:17">
      <c r="A404">
        <v>403</v>
      </c>
      <c r="B404" t="s">
        <v>37</v>
      </c>
      <c r="C404" t="s">
        <v>61</v>
      </c>
      <c r="D404" t="s">
        <v>66</v>
      </c>
      <c r="E404" t="s">
        <v>75</v>
      </c>
      <c r="F404" t="s">
        <v>165</v>
      </c>
      <c r="G404" t="s">
        <v>399</v>
      </c>
      <c r="H404" t="s">
        <v>405</v>
      </c>
      <c r="I404" t="s">
        <v>492</v>
      </c>
      <c r="M404" s="1">
        <f>AVERAGE(J404:L404)</f>
        <v>0</v>
      </c>
      <c r="N404" s="1">
        <f>M404</f>
        <v>0</v>
      </c>
      <c r="P404" s="3">
        <f>IF(OR(H404="O", NOT(ISNUMBER(M404))), "", IF(COUNTIFS(C$2:C$999, C404, H$2:H$999, H404, M$2:M$999, "&lt;"&amp;M404)+1=1, 9, IF(COUNTIFS(C$2:C$999, C404, H$2:H$999, H404, M$2:M$999, "&lt;"&amp;M404)+1&lt;=8, 10-(COUNTIFS(C$2:C$999, C404, H$2:H$999, H404, M$2:M$999, "&lt;"&amp;M404)+1)-1, "")))</f>
        <v>0</v>
      </c>
      <c r="Q404" s="3">
        <f>IF(AND(N404&lt;&gt;"", O404&lt;&gt;""), 1, "")</f>
        <v>0</v>
      </c>
    </row>
    <row r="405" spans="1:17">
      <c r="A405">
        <v>404</v>
      </c>
      <c r="B405" t="s">
        <v>37</v>
      </c>
      <c r="C405" t="s">
        <v>61</v>
      </c>
      <c r="D405" t="s">
        <v>66</v>
      </c>
      <c r="E405" t="s">
        <v>76</v>
      </c>
      <c r="F405" t="s">
        <v>192</v>
      </c>
      <c r="G405" t="s">
        <v>392</v>
      </c>
      <c r="H405" t="s">
        <v>406</v>
      </c>
      <c r="I405" t="s">
        <v>519</v>
      </c>
      <c r="M405" s="1">
        <f>AVERAGE(J405:L405)</f>
        <v>0</v>
      </c>
      <c r="N405" s="1">
        <f>M405</f>
        <v>0</v>
      </c>
      <c r="P405" s="3">
        <f>IF(OR(H405="O", NOT(ISNUMBER(M405))), "", IF(COUNTIFS(C$2:C$999, C405, H$2:H$999, H405, M$2:M$999, "&lt;"&amp;M405)+1=1, 9, IF(COUNTIFS(C$2:C$999, C405, H$2:H$999, H405, M$2:M$999, "&lt;"&amp;M405)+1&lt;=8, 10-(COUNTIFS(C$2:C$999, C405, H$2:H$999, H405, M$2:M$999, "&lt;"&amp;M405)+1)-1, "")))</f>
        <v>0</v>
      </c>
      <c r="Q405" s="3">
        <f>IF(AND(N405&lt;&gt;"", O405&lt;&gt;""), 1, "")</f>
        <v>0</v>
      </c>
    </row>
    <row r="406" spans="1:17">
      <c r="A406">
        <v>405</v>
      </c>
      <c r="B406" t="s">
        <v>37</v>
      </c>
      <c r="C406" t="s">
        <v>61</v>
      </c>
      <c r="D406" t="s">
        <v>66</v>
      </c>
      <c r="E406" t="s">
        <v>77</v>
      </c>
      <c r="F406" t="s">
        <v>166</v>
      </c>
      <c r="G406" t="s">
        <v>401</v>
      </c>
      <c r="H406" t="s">
        <v>406</v>
      </c>
      <c r="I406" t="s">
        <v>493</v>
      </c>
      <c r="M406" s="1">
        <f>AVERAGE(J406:L406)</f>
        <v>0</v>
      </c>
      <c r="N406" s="1">
        <f>M406</f>
        <v>0</v>
      </c>
      <c r="P406" s="3">
        <f>IF(OR(H406="O", NOT(ISNUMBER(M406))), "", IF(COUNTIFS(C$2:C$999, C406, H$2:H$999, H406, M$2:M$999, "&lt;"&amp;M406)+1=1, 9, IF(COUNTIFS(C$2:C$999, C406, H$2:H$999, H406, M$2:M$999, "&lt;"&amp;M406)+1&lt;=8, 10-(COUNTIFS(C$2:C$999, C406, H$2:H$999, H406, M$2:M$999, "&lt;"&amp;M406)+1)-1, "")))</f>
        <v>0</v>
      </c>
      <c r="Q406" s="3">
        <f>IF(AND(N406&lt;&gt;"", O406&lt;&gt;""), 1, "")</f>
        <v>0</v>
      </c>
    </row>
    <row r="407" spans="1:17">
      <c r="A407">
        <v>406</v>
      </c>
      <c r="B407" t="s">
        <v>37</v>
      </c>
      <c r="C407" t="s">
        <v>61</v>
      </c>
      <c r="D407" t="s">
        <v>66</v>
      </c>
      <c r="E407" t="s">
        <v>78</v>
      </c>
      <c r="F407" t="s">
        <v>90</v>
      </c>
      <c r="G407" t="s">
        <v>398</v>
      </c>
      <c r="H407" t="s">
        <v>406</v>
      </c>
      <c r="I407" t="s">
        <v>417</v>
      </c>
      <c r="M407" s="1">
        <f>AVERAGE(J407:L407)</f>
        <v>0</v>
      </c>
      <c r="N407" s="1">
        <f>M407</f>
        <v>0</v>
      </c>
      <c r="P407" s="3">
        <f>IF(OR(H407="O", NOT(ISNUMBER(M407))), "", IF(COUNTIFS(C$2:C$999, C407, H$2:H$999, H407, M$2:M$999, "&lt;"&amp;M407)+1=1, 9, IF(COUNTIFS(C$2:C$999, C407, H$2:H$999, H407, M$2:M$999, "&lt;"&amp;M407)+1&lt;=8, 10-(COUNTIFS(C$2:C$999, C407, H$2:H$999, H407, M$2:M$999, "&lt;"&amp;M407)+1)-1, "")))</f>
        <v>0</v>
      </c>
      <c r="Q407" s="3">
        <f>IF(AND(N407&lt;&gt;"", O407&lt;&gt;""), 1, "")</f>
        <v>0</v>
      </c>
    </row>
    <row r="408" spans="1:17">
      <c r="A408">
        <v>407</v>
      </c>
      <c r="B408" t="s">
        <v>37</v>
      </c>
      <c r="C408" t="s">
        <v>61</v>
      </c>
      <c r="D408" t="s">
        <v>67</v>
      </c>
      <c r="E408" t="s">
        <v>71</v>
      </c>
      <c r="F408" t="s">
        <v>191</v>
      </c>
      <c r="G408" t="s">
        <v>402</v>
      </c>
      <c r="H408" t="s">
        <v>405</v>
      </c>
      <c r="I408" t="s">
        <v>518</v>
      </c>
      <c r="M408" s="1">
        <f>AVERAGE(J408:L408)</f>
        <v>0</v>
      </c>
      <c r="N408" s="1">
        <f>M408</f>
        <v>0</v>
      </c>
      <c r="P408" s="3">
        <f>IF(OR(H408="O", NOT(ISNUMBER(M408))), "", IF(COUNTIFS(C$2:C$999, C408, H$2:H$999, H408, M$2:M$999, "&lt;"&amp;M408)+1=1, 9, IF(COUNTIFS(C$2:C$999, C408, H$2:H$999, H408, M$2:M$999, "&lt;"&amp;M408)+1&lt;=8, 10-(COUNTIFS(C$2:C$999, C408, H$2:H$999, H408, M$2:M$999, "&lt;"&amp;M408)+1)-1, "")))</f>
        <v>0</v>
      </c>
      <c r="Q408" s="3">
        <f>IF(AND(N408&lt;&gt;"", O408&lt;&gt;""), 1, "")</f>
        <v>0</v>
      </c>
    </row>
    <row r="409" spans="1:17">
      <c r="A409">
        <v>408</v>
      </c>
      <c r="B409" t="s">
        <v>37</v>
      </c>
      <c r="C409" t="s">
        <v>61</v>
      </c>
      <c r="D409" t="s">
        <v>67</v>
      </c>
      <c r="E409" t="s">
        <v>72</v>
      </c>
      <c r="F409" t="s">
        <v>354</v>
      </c>
      <c r="G409" t="s">
        <v>403</v>
      </c>
      <c r="H409" t="s">
        <v>406</v>
      </c>
      <c r="I409" t="s">
        <v>681</v>
      </c>
      <c r="M409" s="1">
        <f>AVERAGE(J409:L409)</f>
        <v>0</v>
      </c>
      <c r="N409" s="1">
        <f>M409</f>
        <v>0</v>
      </c>
      <c r="P409" s="3">
        <f>IF(OR(H409="O", NOT(ISNUMBER(M409))), "", IF(COUNTIFS(C$2:C$999, C409, H$2:H$999, H409, M$2:M$999, "&lt;"&amp;M409)+1=1, 9, IF(COUNTIFS(C$2:C$999, C409, H$2:H$999, H409, M$2:M$999, "&lt;"&amp;M409)+1&lt;=8, 10-(COUNTIFS(C$2:C$999, C409, H$2:H$999, H409, M$2:M$999, "&lt;"&amp;M409)+1)-1, "")))</f>
        <v>0</v>
      </c>
      <c r="Q409" s="3">
        <f>IF(AND(N409&lt;&gt;"", O409&lt;&gt;""), 1, "")</f>
        <v>0</v>
      </c>
    </row>
    <row r="410" spans="1:17">
      <c r="A410">
        <v>409</v>
      </c>
      <c r="B410" t="s">
        <v>37</v>
      </c>
      <c r="C410" t="s">
        <v>61</v>
      </c>
      <c r="D410" t="s">
        <v>67</v>
      </c>
      <c r="E410" t="s">
        <v>73</v>
      </c>
      <c r="F410" t="s">
        <v>91</v>
      </c>
      <c r="G410" t="s">
        <v>399</v>
      </c>
      <c r="H410" t="s">
        <v>405</v>
      </c>
      <c r="I410" t="s">
        <v>418</v>
      </c>
      <c r="M410" s="1">
        <f>AVERAGE(J410:L410)</f>
        <v>0</v>
      </c>
      <c r="N410" s="1">
        <f>M410</f>
        <v>0</v>
      </c>
      <c r="P410" s="3">
        <f>IF(OR(H410="O", NOT(ISNUMBER(M410))), "", IF(COUNTIFS(C$2:C$999, C410, H$2:H$999, H410, M$2:M$999, "&lt;"&amp;M410)+1=1, 9, IF(COUNTIFS(C$2:C$999, C410, H$2:H$999, H410, M$2:M$999, "&lt;"&amp;M410)+1&lt;=8, 10-(COUNTIFS(C$2:C$999, C410, H$2:H$999, H410, M$2:M$999, "&lt;"&amp;M410)+1)-1, "")))</f>
        <v>0</v>
      </c>
      <c r="Q410" s="3">
        <f>IF(AND(N410&lt;&gt;"", O410&lt;&gt;""), 1, "")</f>
        <v>0</v>
      </c>
    </row>
    <row r="411" spans="1:17">
      <c r="A411">
        <v>410</v>
      </c>
      <c r="B411" t="s">
        <v>37</v>
      </c>
      <c r="C411" t="s">
        <v>61</v>
      </c>
      <c r="D411" t="s">
        <v>67</v>
      </c>
      <c r="E411" t="s">
        <v>74</v>
      </c>
      <c r="F411" t="s">
        <v>164</v>
      </c>
      <c r="G411" t="s">
        <v>402</v>
      </c>
      <c r="H411" t="s">
        <v>406</v>
      </c>
      <c r="I411" t="s">
        <v>491</v>
      </c>
      <c r="M411" s="1">
        <f>AVERAGE(J411:L411)</f>
        <v>0</v>
      </c>
      <c r="N411" s="1">
        <f>M411</f>
        <v>0</v>
      </c>
      <c r="P411" s="3">
        <f>IF(OR(H411="O", NOT(ISNUMBER(M411))), "", IF(COUNTIFS(C$2:C$999, C411, H$2:H$999, H411, M$2:M$999, "&lt;"&amp;M411)+1=1, 9, IF(COUNTIFS(C$2:C$999, C411, H$2:H$999, H411, M$2:M$999, "&lt;"&amp;M411)+1&lt;=8, 10-(COUNTIFS(C$2:C$999, C411, H$2:H$999, H411, M$2:M$999, "&lt;"&amp;M411)+1)-1, "")))</f>
        <v>0</v>
      </c>
      <c r="Q411" s="3">
        <f>IF(AND(N411&lt;&gt;"", O411&lt;&gt;""), 1, "")</f>
        <v>0</v>
      </c>
    </row>
    <row r="412" spans="1:17">
      <c r="A412">
        <v>411</v>
      </c>
      <c r="B412" t="s">
        <v>37</v>
      </c>
      <c r="C412" t="s">
        <v>61</v>
      </c>
      <c r="D412" t="s">
        <v>67</v>
      </c>
      <c r="E412" t="s">
        <v>75</v>
      </c>
      <c r="F412" t="s">
        <v>355</v>
      </c>
      <c r="G412" t="s">
        <v>402</v>
      </c>
      <c r="H412" t="s">
        <v>405</v>
      </c>
      <c r="I412" t="s">
        <v>682</v>
      </c>
      <c r="M412" s="1">
        <f>AVERAGE(J412:L412)</f>
        <v>0</v>
      </c>
      <c r="N412" s="1">
        <f>M412</f>
        <v>0</v>
      </c>
      <c r="P412" s="3">
        <f>IF(OR(H412="O", NOT(ISNUMBER(M412))), "", IF(COUNTIFS(C$2:C$999, C412, H$2:H$999, H412, M$2:M$999, "&lt;"&amp;M412)+1=1, 9, IF(COUNTIFS(C$2:C$999, C412, H$2:H$999, H412, M$2:M$999, "&lt;"&amp;M412)+1&lt;=8, 10-(COUNTIFS(C$2:C$999, C412, H$2:H$999, H412, M$2:M$999, "&lt;"&amp;M412)+1)-1, "")))</f>
        <v>0</v>
      </c>
      <c r="Q412" s="3">
        <f>IF(AND(N412&lt;&gt;"", O412&lt;&gt;""), 1, "")</f>
        <v>0</v>
      </c>
    </row>
    <row r="413" spans="1:17">
      <c r="A413">
        <v>412</v>
      </c>
      <c r="B413" t="s">
        <v>37</v>
      </c>
      <c r="C413" t="s">
        <v>61</v>
      </c>
      <c r="D413" t="s">
        <v>67</v>
      </c>
      <c r="E413" t="s">
        <v>76</v>
      </c>
      <c r="F413" t="s">
        <v>167</v>
      </c>
      <c r="G413" t="s">
        <v>394</v>
      </c>
      <c r="H413" t="s">
        <v>406</v>
      </c>
      <c r="I413" t="s">
        <v>494</v>
      </c>
      <c r="M413" s="1">
        <f>AVERAGE(J413:L413)</f>
        <v>0</v>
      </c>
      <c r="N413" s="1">
        <f>M413</f>
        <v>0</v>
      </c>
      <c r="P413" s="3">
        <f>IF(OR(H413="O", NOT(ISNUMBER(M413))), "", IF(COUNTIFS(C$2:C$999, C413, H$2:H$999, H413, M$2:M$999, "&lt;"&amp;M413)+1=1, 9, IF(COUNTIFS(C$2:C$999, C413, H$2:H$999, H413, M$2:M$999, "&lt;"&amp;M413)+1&lt;=8, 10-(COUNTIFS(C$2:C$999, C413, H$2:H$999, H413, M$2:M$999, "&lt;"&amp;M413)+1)-1, "")))</f>
        <v>0</v>
      </c>
      <c r="Q413" s="3">
        <f>IF(AND(N413&lt;&gt;"", O413&lt;&gt;""), 1, "")</f>
        <v>0</v>
      </c>
    </row>
    <row r="414" spans="1:17">
      <c r="A414">
        <v>413</v>
      </c>
      <c r="B414" t="s">
        <v>37</v>
      </c>
      <c r="C414" t="s">
        <v>61</v>
      </c>
      <c r="D414" t="s">
        <v>67</v>
      </c>
      <c r="E414" t="s">
        <v>77</v>
      </c>
      <c r="F414" t="s">
        <v>187</v>
      </c>
      <c r="G414" t="s">
        <v>399</v>
      </c>
      <c r="H414" t="s">
        <v>405</v>
      </c>
      <c r="I414" t="s">
        <v>514</v>
      </c>
      <c r="M414" s="1">
        <f>AVERAGE(J414:L414)</f>
        <v>0</v>
      </c>
      <c r="N414" s="1">
        <f>M414</f>
        <v>0</v>
      </c>
      <c r="P414" s="3">
        <f>IF(OR(H414="O", NOT(ISNUMBER(M414))), "", IF(COUNTIFS(C$2:C$999, C414, H$2:H$999, H414, M$2:M$999, "&lt;"&amp;M414)+1=1, 9, IF(COUNTIFS(C$2:C$999, C414, H$2:H$999, H414, M$2:M$999, "&lt;"&amp;M414)+1&lt;=8, 10-(COUNTIFS(C$2:C$999, C414, H$2:H$999, H414, M$2:M$999, "&lt;"&amp;M414)+1)-1, "")))</f>
        <v>0</v>
      </c>
      <c r="Q414" s="3">
        <f>IF(AND(N414&lt;&gt;"", O414&lt;&gt;""), 1, "")</f>
        <v>0</v>
      </c>
    </row>
    <row r="415" spans="1:17">
      <c r="A415">
        <v>414</v>
      </c>
      <c r="B415" t="s">
        <v>37</v>
      </c>
      <c r="C415" t="s">
        <v>61</v>
      </c>
      <c r="D415" t="s">
        <v>67</v>
      </c>
      <c r="E415" t="s">
        <v>78</v>
      </c>
      <c r="F415" t="s">
        <v>95</v>
      </c>
      <c r="G415" t="s">
        <v>399</v>
      </c>
      <c r="H415" t="s">
        <v>406</v>
      </c>
      <c r="I415" t="s">
        <v>422</v>
      </c>
      <c r="M415" s="1">
        <f>AVERAGE(J415:L415)</f>
        <v>0</v>
      </c>
      <c r="N415" s="1">
        <f>M415</f>
        <v>0</v>
      </c>
      <c r="P415" s="3">
        <f>IF(OR(H415="O", NOT(ISNUMBER(M415))), "", IF(COUNTIFS(C$2:C$999, C415, H$2:H$999, H415, M$2:M$999, "&lt;"&amp;M415)+1=1, 9, IF(COUNTIFS(C$2:C$999, C415, H$2:H$999, H415, M$2:M$999, "&lt;"&amp;M415)+1&lt;=8, 10-(COUNTIFS(C$2:C$999, C415, H$2:H$999, H415, M$2:M$999, "&lt;"&amp;M415)+1)-1, "")))</f>
        <v>0</v>
      </c>
      <c r="Q415" s="3">
        <f>IF(AND(N415&lt;&gt;"", O415&lt;&gt;""), 1, "")</f>
        <v>0</v>
      </c>
    </row>
    <row r="416" spans="1:17">
      <c r="A416">
        <v>415</v>
      </c>
      <c r="B416" t="s">
        <v>38</v>
      </c>
      <c r="C416" t="s">
        <v>62</v>
      </c>
      <c r="D416" t="s">
        <v>65</v>
      </c>
      <c r="E416" t="s">
        <v>71</v>
      </c>
      <c r="F416" t="s">
        <v>195</v>
      </c>
      <c r="G416" t="s">
        <v>390</v>
      </c>
      <c r="H416" t="s">
        <v>404</v>
      </c>
      <c r="I416" t="s">
        <v>522</v>
      </c>
      <c r="M416" s="1">
        <f>AVERAGE(J416:L416)</f>
        <v>0</v>
      </c>
      <c r="N416" s="1">
        <f>M416</f>
        <v>0</v>
      </c>
      <c r="P416" s="3">
        <f>IF(OR(H416="O", NOT(ISNUMBER(M416))), "", IF(COUNTIFS(C$2:C$999, C416, H$2:H$999, H416, M$2:M$999, "&lt;"&amp;M416)+1=1, 9, IF(COUNTIFS(C$2:C$999, C416, H$2:H$999, H416, M$2:M$999, "&lt;"&amp;M416)+1&lt;=8, 10-(COUNTIFS(C$2:C$999, C416, H$2:H$999, H416, M$2:M$999, "&lt;"&amp;M416)+1)-1, "")))</f>
        <v>0</v>
      </c>
      <c r="Q416" s="3">
        <f>IF(AND(N416&lt;&gt;"", O416&lt;&gt;""), 1, "")</f>
        <v>0</v>
      </c>
    </row>
    <row r="417" spans="1:17">
      <c r="A417">
        <v>416</v>
      </c>
      <c r="B417" t="s">
        <v>38</v>
      </c>
      <c r="C417" t="s">
        <v>62</v>
      </c>
      <c r="D417" t="s">
        <v>65</v>
      </c>
      <c r="E417" t="s">
        <v>72</v>
      </c>
      <c r="F417" t="s">
        <v>196</v>
      </c>
      <c r="G417" t="s">
        <v>391</v>
      </c>
      <c r="H417" t="s">
        <v>404</v>
      </c>
      <c r="I417" t="s">
        <v>523</v>
      </c>
      <c r="M417" s="1">
        <f>AVERAGE(J417:L417)</f>
        <v>0</v>
      </c>
      <c r="N417" s="1">
        <f>M417</f>
        <v>0</v>
      </c>
      <c r="P417" s="3">
        <f>IF(OR(H417="O", NOT(ISNUMBER(M417))), "", IF(COUNTIFS(C$2:C$999, C417, H$2:H$999, H417, M$2:M$999, "&lt;"&amp;M417)+1=1, 9, IF(COUNTIFS(C$2:C$999, C417, H$2:H$999, H417, M$2:M$999, "&lt;"&amp;M417)+1&lt;=8, 10-(COUNTIFS(C$2:C$999, C417, H$2:H$999, H417, M$2:M$999, "&lt;"&amp;M417)+1)-1, "")))</f>
        <v>0</v>
      </c>
      <c r="Q417" s="3">
        <f>IF(AND(N417&lt;&gt;"", O417&lt;&gt;""), 1, "")</f>
        <v>0</v>
      </c>
    </row>
    <row r="418" spans="1:17">
      <c r="A418">
        <v>417</v>
      </c>
      <c r="B418" t="s">
        <v>38</v>
      </c>
      <c r="C418" t="s">
        <v>62</v>
      </c>
      <c r="D418" t="s">
        <v>65</v>
      </c>
      <c r="E418" t="s">
        <v>73</v>
      </c>
      <c r="F418" t="s">
        <v>197</v>
      </c>
      <c r="G418" t="s">
        <v>393</v>
      </c>
      <c r="H418" t="s">
        <v>404</v>
      </c>
      <c r="I418" t="s">
        <v>524</v>
      </c>
      <c r="M418" s="1">
        <f>AVERAGE(J418:L418)</f>
        <v>0</v>
      </c>
      <c r="N418" s="1">
        <f>M418</f>
        <v>0</v>
      </c>
      <c r="P418" s="3">
        <f>IF(OR(H418="O", NOT(ISNUMBER(M418))), "", IF(COUNTIFS(C$2:C$999, C418, H$2:H$999, H418, M$2:M$999, "&lt;"&amp;M418)+1=1, 9, IF(COUNTIFS(C$2:C$999, C418, H$2:H$999, H418, M$2:M$999, "&lt;"&amp;M418)+1&lt;=8, 10-(COUNTIFS(C$2:C$999, C418, H$2:H$999, H418, M$2:M$999, "&lt;"&amp;M418)+1)-1, "")))</f>
        <v>0</v>
      </c>
      <c r="Q418" s="3">
        <f>IF(AND(N418&lt;&gt;"", O418&lt;&gt;""), 1, "")</f>
        <v>0</v>
      </c>
    </row>
    <row r="419" spans="1:17">
      <c r="A419">
        <v>418</v>
      </c>
      <c r="B419" t="s">
        <v>38</v>
      </c>
      <c r="C419" t="s">
        <v>62</v>
      </c>
      <c r="D419" t="s">
        <v>65</v>
      </c>
      <c r="E419" t="s">
        <v>74</v>
      </c>
      <c r="F419" t="s">
        <v>356</v>
      </c>
      <c r="G419" t="s">
        <v>392</v>
      </c>
      <c r="H419" t="s">
        <v>404</v>
      </c>
      <c r="I419" t="s">
        <v>683</v>
      </c>
      <c r="M419" s="1">
        <f>AVERAGE(J419:L419)</f>
        <v>0</v>
      </c>
      <c r="N419" s="1">
        <f>M419</f>
        <v>0</v>
      </c>
      <c r="P419" s="3">
        <f>IF(OR(H419="O", NOT(ISNUMBER(M419))), "", IF(COUNTIFS(C$2:C$999, C419, H$2:H$999, H419, M$2:M$999, "&lt;"&amp;M419)+1=1, 9, IF(COUNTIFS(C$2:C$999, C419, H$2:H$999, H419, M$2:M$999, "&lt;"&amp;M419)+1&lt;=8, 10-(COUNTIFS(C$2:C$999, C419, H$2:H$999, H419, M$2:M$999, "&lt;"&amp;M419)+1)-1, "")))</f>
        <v>0</v>
      </c>
      <c r="Q419" s="3">
        <f>IF(AND(N419&lt;&gt;"", O419&lt;&gt;""), 1, "")</f>
        <v>0</v>
      </c>
    </row>
    <row r="420" spans="1:17">
      <c r="A420">
        <v>419</v>
      </c>
      <c r="B420" t="s">
        <v>38</v>
      </c>
      <c r="C420" t="s">
        <v>62</v>
      </c>
      <c r="D420" t="s">
        <v>65</v>
      </c>
      <c r="E420" t="s">
        <v>75</v>
      </c>
      <c r="F420" t="s">
        <v>172</v>
      </c>
      <c r="G420" t="s">
        <v>394</v>
      </c>
      <c r="H420" t="s">
        <v>404</v>
      </c>
      <c r="I420" t="s">
        <v>499</v>
      </c>
      <c r="M420" s="1">
        <f>AVERAGE(J420:L420)</f>
        <v>0</v>
      </c>
      <c r="N420" s="1">
        <f>M420</f>
        <v>0</v>
      </c>
      <c r="P420" s="3">
        <f>IF(OR(H420="O", NOT(ISNUMBER(M420))), "", IF(COUNTIFS(C$2:C$999, C420, H$2:H$999, H420, M$2:M$999, "&lt;"&amp;M420)+1=1, 9, IF(COUNTIFS(C$2:C$999, C420, H$2:H$999, H420, M$2:M$999, "&lt;"&amp;M420)+1&lt;=8, 10-(COUNTIFS(C$2:C$999, C420, H$2:H$999, H420, M$2:M$999, "&lt;"&amp;M420)+1)-1, "")))</f>
        <v>0</v>
      </c>
      <c r="Q420" s="3">
        <f>IF(AND(N420&lt;&gt;"", O420&lt;&gt;""), 1, "")</f>
        <v>0</v>
      </c>
    </row>
    <row r="421" spans="1:17">
      <c r="A421">
        <v>420</v>
      </c>
      <c r="B421" t="s">
        <v>38</v>
      </c>
      <c r="C421" t="s">
        <v>62</v>
      </c>
      <c r="D421" t="s">
        <v>65</v>
      </c>
      <c r="E421" t="s">
        <v>76</v>
      </c>
      <c r="F421" t="s">
        <v>101</v>
      </c>
      <c r="G421" t="s">
        <v>395</v>
      </c>
      <c r="H421" t="s">
        <v>404</v>
      </c>
      <c r="I421" t="s">
        <v>428</v>
      </c>
      <c r="M421" s="1">
        <f>AVERAGE(J421:L421)</f>
        <v>0</v>
      </c>
      <c r="N421" s="1">
        <f>M421</f>
        <v>0</v>
      </c>
      <c r="P421" s="3">
        <f>IF(OR(H421="O", NOT(ISNUMBER(M421))), "", IF(COUNTIFS(C$2:C$999, C421, H$2:H$999, H421, M$2:M$999, "&lt;"&amp;M421)+1=1, 9, IF(COUNTIFS(C$2:C$999, C421, H$2:H$999, H421, M$2:M$999, "&lt;"&amp;M421)+1&lt;=8, 10-(COUNTIFS(C$2:C$999, C421, H$2:H$999, H421, M$2:M$999, "&lt;"&amp;M421)+1)-1, "")))</f>
        <v>0</v>
      </c>
      <c r="Q421" s="3">
        <f>IF(AND(N421&lt;&gt;"", O421&lt;&gt;""), 1, "")</f>
        <v>0</v>
      </c>
    </row>
    <row r="422" spans="1:17">
      <c r="A422">
        <v>421</v>
      </c>
      <c r="B422" t="s">
        <v>38</v>
      </c>
      <c r="C422" t="s">
        <v>62</v>
      </c>
      <c r="D422" t="s">
        <v>65</v>
      </c>
      <c r="E422" t="s">
        <v>77</v>
      </c>
      <c r="F422" t="s">
        <v>174</v>
      </c>
      <c r="G422" t="s">
        <v>396</v>
      </c>
      <c r="H422" t="s">
        <v>404</v>
      </c>
      <c r="I422" t="s">
        <v>501</v>
      </c>
      <c r="M422" s="1">
        <f>AVERAGE(J422:L422)</f>
        <v>0</v>
      </c>
      <c r="N422" s="1">
        <f>M422</f>
        <v>0</v>
      </c>
      <c r="P422" s="3">
        <f>IF(OR(H422="O", NOT(ISNUMBER(M422))), "", IF(COUNTIFS(C$2:C$999, C422, H$2:H$999, H422, M$2:M$999, "&lt;"&amp;M422)+1=1, 9, IF(COUNTIFS(C$2:C$999, C422, H$2:H$999, H422, M$2:M$999, "&lt;"&amp;M422)+1&lt;=8, 10-(COUNTIFS(C$2:C$999, C422, H$2:H$999, H422, M$2:M$999, "&lt;"&amp;M422)+1)-1, "")))</f>
        <v>0</v>
      </c>
      <c r="Q422" s="3">
        <f>IF(AND(N422&lt;&gt;"", O422&lt;&gt;""), 1, "")</f>
        <v>0</v>
      </c>
    </row>
    <row r="423" spans="1:17">
      <c r="A423">
        <v>422</v>
      </c>
      <c r="B423" t="s">
        <v>38</v>
      </c>
      <c r="C423" t="s">
        <v>62</v>
      </c>
      <c r="D423" t="s">
        <v>65</v>
      </c>
      <c r="E423" t="s">
        <v>78</v>
      </c>
      <c r="F423" t="s">
        <v>175</v>
      </c>
      <c r="G423" t="s">
        <v>397</v>
      </c>
      <c r="H423" t="s">
        <v>404</v>
      </c>
      <c r="I423" t="s">
        <v>502</v>
      </c>
      <c r="M423" s="1">
        <f>AVERAGE(J423:L423)</f>
        <v>0</v>
      </c>
      <c r="N423" s="1">
        <f>M423</f>
        <v>0</v>
      </c>
      <c r="P423" s="3">
        <f>IF(OR(H423="O", NOT(ISNUMBER(M423))), "", IF(COUNTIFS(C$2:C$999, C423, H$2:H$999, H423, M$2:M$999, "&lt;"&amp;M423)+1=1, 9, IF(COUNTIFS(C$2:C$999, C423, H$2:H$999, H423, M$2:M$999, "&lt;"&amp;M423)+1&lt;=8, 10-(COUNTIFS(C$2:C$999, C423, H$2:H$999, H423, M$2:M$999, "&lt;"&amp;M423)+1)-1, "")))</f>
        <v>0</v>
      </c>
      <c r="Q423" s="3">
        <f>IF(AND(N423&lt;&gt;"", O423&lt;&gt;""), 1, "")</f>
        <v>0</v>
      </c>
    </row>
    <row r="424" spans="1:17">
      <c r="A424">
        <v>423</v>
      </c>
      <c r="B424" t="s">
        <v>38</v>
      </c>
      <c r="C424" t="s">
        <v>62</v>
      </c>
      <c r="D424" t="s">
        <v>66</v>
      </c>
      <c r="E424" t="s">
        <v>71</v>
      </c>
      <c r="F424" t="s">
        <v>208</v>
      </c>
      <c r="G424" t="s">
        <v>403</v>
      </c>
      <c r="H424" t="s">
        <v>406</v>
      </c>
      <c r="I424" t="s">
        <v>535</v>
      </c>
      <c r="M424" s="1">
        <f>AVERAGE(J424:L424)</f>
        <v>0</v>
      </c>
      <c r="N424" s="1">
        <f>M424</f>
        <v>0</v>
      </c>
      <c r="P424" s="3">
        <f>IF(OR(H424="O", NOT(ISNUMBER(M424))), "", IF(COUNTIFS(C$2:C$999, C424, H$2:H$999, H424, M$2:M$999, "&lt;"&amp;M424)+1=1, 9, IF(COUNTIFS(C$2:C$999, C424, H$2:H$999, H424, M$2:M$999, "&lt;"&amp;M424)+1&lt;=8, 10-(COUNTIFS(C$2:C$999, C424, H$2:H$999, H424, M$2:M$999, "&lt;"&amp;M424)+1)-1, "")))</f>
        <v>0</v>
      </c>
      <c r="Q424" s="3">
        <f>IF(AND(N424&lt;&gt;"", O424&lt;&gt;""), 1, "")</f>
        <v>0</v>
      </c>
    </row>
    <row r="425" spans="1:17">
      <c r="A425">
        <v>424</v>
      </c>
      <c r="B425" t="s">
        <v>38</v>
      </c>
      <c r="C425" t="s">
        <v>62</v>
      </c>
      <c r="D425" t="s">
        <v>66</v>
      </c>
      <c r="E425" t="s">
        <v>72</v>
      </c>
      <c r="F425" t="s">
        <v>182</v>
      </c>
      <c r="G425" t="s">
        <v>398</v>
      </c>
      <c r="H425" t="s">
        <v>406</v>
      </c>
      <c r="I425" t="s">
        <v>509</v>
      </c>
      <c r="M425" s="1">
        <f>AVERAGE(J425:L425)</f>
        <v>0</v>
      </c>
      <c r="N425" s="1">
        <f>M425</f>
        <v>0</v>
      </c>
      <c r="P425" s="3">
        <f>IF(OR(H425="O", NOT(ISNUMBER(M425))), "", IF(COUNTIFS(C$2:C$999, C425, H$2:H$999, H425, M$2:M$999, "&lt;"&amp;M425)+1=1, 9, IF(COUNTIFS(C$2:C$999, C425, H$2:H$999, H425, M$2:M$999, "&lt;"&amp;M425)+1&lt;=8, 10-(COUNTIFS(C$2:C$999, C425, H$2:H$999, H425, M$2:M$999, "&lt;"&amp;M425)+1)-1, "")))</f>
        <v>0</v>
      </c>
      <c r="Q425" s="3">
        <f>IF(AND(N425&lt;&gt;"", O425&lt;&gt;""), 1, "")</f>
        <v>0</v>
      </c>
    </row>
    <row r="426" spans="1:17">
      <c r="A426">
        <v>425</v>
      </c>
      <c r="B426" t="s">
        <v>38</v>
      </c>
      <c r="C426" t="s">
        <v>62</v>
      </c>
      <c r="D426" t="s">
        <v>66</v>
      </c>
      <c r="E426" t="s">
        <v>73</v>
      </c>
      <c r="F426" t="s">
        <v>203</v>
      </c>
      <c r="G426" t="s">
        <v>391</v>
      </c>
      <c r="H426" t="s">
        <v>406</v>
      </c>
      <c r="I426" t="s">
        <v>530</v>
      </c>
      <c r="M426" s="1">
        <f>AVERAGE(J426:L426)</f>
        <v>0</v>
      </c>
      <c r="N426" s="1">
        <f>M426</f>
        <v>0</v>
      </c>
      <c r="P426" s="3">
        <f>IF(OR(H426="O", NOT(ISNUMBER(M426))), "", IF(COUNTIFS(C$2:C$999, C426, H$2:H$999, H426, M$2:M$999, "&lt;"&amp;M426)+1=1, 9, IF(COUNTIFS(C$2:C$999, C426, H$2:H$999, H426, M$2:M$999, "&lt;"&amp;M426)+1&lt;=8, 10-(COUNTIFS(C$2:C$999, C426, H$2:H$999, H426, M$2:M$999, "&lt;"&amp;M426)+1)-1, "")))</f>
        <v>0</v>
      </c>
      <c r="Q426" s="3">
        <f>IF(AND(N426&lt;&gt;"", O426&lt;&gt;""), 1, "")</f>
        <v>0</v>
      </c>
    </row>
    <row r="427" spans="1:17">
      <c r="A427">
        <v>426</v>
      </c>
      <c r="B427" t="s">
        <v>38</v>
      </c>
      <c r="C427" t="s">
        <v>62</v>
      </c>
      <c r="D427" t="s">
        <v>66</v>
      </c>
      <c r="E427" t="s">
        <v>74</v>
      </c>
      <c r="F427" t="s">
        <v>109</v>
      </c>
      <c r="G427" t="s">
        <v>402</v>
      </c>
      <c r="H427" t="s">
        <v>405</v>
      </c>
      <c r="I427" t="s">
        <v>436</v>
      </c>
      <c r="M427" s="1">
        <f>AVERAGE(J427:L427)</f>
        <v>0</v>
      </c>
      <c r="N427" s="1">
        <f>M427</f>
        <v>0</v>
      </c>
      <c r="P427" s="3">
        <f>IF(OR(H427="O", NOT(ISNUMBER(M427))), "", IF(COUNTIFS(C$2:C$999, C427, H$2:H$999, H427, M$2:M$999, "&lt;"&amp;M427)+1=1, 9, IF(COUNTIFS(C$2:C$999, C427, H$2:H$999, H427, M$2:M$999, "&lt;"&amp;M427)+1&lt;=8, 10-(COUNTIFS(C$2:C$999, C427, H$2:H$999, H427, M$2:M$999, "&lt;"&amp;M427)+1)-1, "")))</f>
        <v>0</v>
      </c>
      <c r="Q427" s="3">
        <f>IF(AND(N427&lt;&gt;"", O427&lt;&gt;""), 1, "")</f>
        <v>0</v>
      </c>
    </row>
    <row r="428" spans="1:17">
      <c r="A428">
        <v>427</v>
      </c>
      <c r="B428" t="s">
        <v>38</v>
      </c>
      <c r="C428" t="s">
        <v>62</v>
      </c>
      <c r="D428" t="s">
        <v>66</v>
      </c>
      <c r="E428" t="s">
        <v>75</v>
      </c>
      <c r="F428" t="s">
        <v>202</v>
      </c>
      <c r="G428" t="s">
        <v>400</v>
      </c>
      <c r="H428" t="s">
        <v>405</v>
      </c>
      <c r="I428" t="s">
        <v>529</v>
      </c>
      <c r="M428" s="1">
        <f>AVERAGE(J428:L428)</f>
        <v>0</v>
      </c>
      <c r="N428" s="1">
        <f>M428</f>
        <v>0</v>
      </c>
      <c r="P428" s="3">
        <f>IF(OR(H428="O", NOT(ISNUMBER(M428))), "", IF(COUNTIFS(C$2:C$999, C428, H$2:H$999, H428, M$2:M$999, "&lt;"&amp;M428)+1=1, 9, IF(COUNTIFS(C$2:C$999, C428, H$2:H$999, H428, M$2:M$999, "&lt;"&amp;M428)+1&lt;=8, 10-(COUNTIFS(C$2:C$999, C428, H$2:H$999, H428, M$2:M$999, "&lt;"&amp;M428)+1)-1, "")))</f>
        <v>0</v>
      </c>
      <c r="Q428" s="3">
        <f>IF(AND(N428&lt;&gt;"", O428&lt;&gt;""), 1, "")</f>
        <v>0</v>
      </c>
    </row>
    <row r="429" spans="1:17">
      <c r="A429">
        <v>428</v>
      </c>
      <c r="B429" t="s">
        <v>38</v>
      </c>
      <c r="C429" t="s">
        <v>62</v>
      </c>
      <c r="D429" t="s">
        <v>66</v>
      </c>
      <c r="E429" t="s">
        <v>76</v>
      </c>
      <c r="F429" t="s">
        <v>357</v>
      </c>
      <c r="G429" t="s">
        <v>396</v>
      </c>
      <c r="H429" t="s">
        <v>406</v>
      </c>
      <c r="I429" t="s">
        <v>684</v>
      </c>
      <c r="M429" s="1">
        <f>AVERAGE(J429:L429)</f>
        <v>0</v>
      </c>
      <c r="N429" s="1">
        <f>M429</f>
        <v>0</v>
      </c>
      <c r="P429" s="3">
        <f>IF(OR(H429="O", NOT(ISNUMBER(M429))), "", IF(COUNTIFS(C$2:C$999, C429, H$2:H$999, H429, M$2:M$999, "&lt;"&amp;M429)+1=1, 9, IF(COUNTIFS(C$2:C$999, C429, H$2:H$999, H429, M$2:M$999, "&lt;"&amp;M429)+1&lt;=8, 10-(COUNTIFS(C$2:C$999, C429, H$2:H$999, H429, M$2:M$999, "&lt;"&amp;M429)+1)-1, "")))</f>
        <v>0</v>
      </c>
      <c r="Q429" s="3">
        <f>IF(AND(N429&lt;&gt;"", O429&lt;&gt;""), 1, "")</f>
        <v>0</v>
      </c>
    </row>
    <row r="430" spans="1:17">
      <c r="A430">
        <v>429</v>
      </c>
      <c r="B430" t="s">
        <v>38</v>
      </c>
      <c r="C430" t="s">
        <v>62</v>
      </c>
      <c r="D430" t="s">
        <v>66</v>
      </c>
      <c r="E430" t="s">
        <v>77</v>
      </c>
      <c r="F430" t="s">
        <v>309</v>
      </c>
      <c r="G430" t="s">
        <v>390</v>
      </c>
      <c r="H430" t="s">
        <v>406</v>
      </c>
      <c r="I430" t="s">
        <v>636</v>
      </c>
      <c r="M430" s="1">
        <f>AVERAGE(J430:L430)</f>
        <v>0</v>
      </c>
      <c r="N430" s="1">
        <f>M430</f>
        <v>0</v>
      </c>
      <c r="P430" s="3">
        <f>IF(OR(H430="O", NOT(ISNUMBER(M430))), "", IF(COUNTIFS(C$2:C$999, C430, H$2:H$999, H430, M$2:M$999, "&lt;"&amp;M430)+1=1, 9, IF(COUNTIFS(C$2:C$999, C430, H$2:H$999, H430, M$2:M$999, "&lt;"&amp;M430)+1&lt;=8, 10-(COUNTIFS(C$2:C$999, C430, H$2:H$999, H430, M$2:M$999, "&lt;"&amp;M430)+1)-1, "")))</f>
        <v>0</v>
      </c>
      <c r="Q430" s="3">
        <f>IF(AND(N430&lt;&gt;"", O430&lt;&gt;""), 1, "")</f>
        <v>0</v>
      </c>
    </row>
    <row r="431" spans="1:17">
      <c r="A431">
        <v>430</v>
      </c>
      <c r="B431" t="s">
        <v>38</v>
      </c>
      <c r="C431" t="s">
        <v>62</v>
      </c>
      <c r="D431" t="s">
        <v>66</v>
      </c>
      <c r="E431" t="s">
        <v>78</v>
      </c>
      <c r="F431" t="s">
        <v>346</v>
      </c>
      <c r="G431" t="s">
        <v>390</v>
      </c>
      <c r="H431" t="s">
        <v>405</v>
      </c>
      <c r="I431" t="s">
        <v>673</v>
      </c>
      <c r="M431" s="1">
        <f>AVERAGE(J431:L431)</f>
        <v>0</v>
      </c>
      <c r="N431" s="1">
        <f>M431</f>
        <v>0</v>
      </c>
      <c r="P431" s="3">
        <f>IF(OR(H431="O", NOT(ISNUMBER(M431))), "", IF(COUNTIFS(C$2:C$999, C431, H$2:H$999, H431, M$2:M$999, "&lt;"&amp;M431)+1=1, 9, IF(COUNTIFS(C$2:C$999, C431, H$2:H$999, H431, M$2:M$999, "&lt;"&amp;M431)+1&lt;=8, 10-(COUNTIFS(C$2:C$999, C431, H$2:H$999, H431, M$2:M$999, "&lt;"&amp;M431)+1)-1, "")))</f>
        <v>0</v>
      </c>
      <c r="Q431" s="3">
        <f>IF(AND(N431&lt;&gt;"", O431&lt;&gt;""), 1, "")</f>
        <v>0</v>
      </c>
    </row>
    <row r="432" spans="1:17">
      <c r="A432">
        <v>431</v>
      </c>
      <c r="B432" t="s">
        <v>38</v>
      </c>
      <c r="C432" t="s">
        <v>62</v>
      </c>
      <c r="D432" t="s">
        <v>66</v>
      </c>
      <c r="E432" t="s">
        <v>80</v>
      </c>
      <c r="F432" t="s">
        <v>345</v>
      </c>
      <c r="G432" t="s">
        <v>394</v>
      </c>
      <c r="H432" t="s">
        <v>405</v>
      </c>
      <c r="I432" t="s">
        <v>672</v>
      </c>
      <c r="M432" s="1">
        <f>AVERAGE(J432:L432)</f>
        <v>0</v>
      </c>
      <c r="N432" s="1">
        <f>M432</f>
        <v>0</v>
      </c>
      <c r="P432" s="3">
        <f>IF(OR(H432="O", NOT(ISNUMBER(M432))), "", IF(COUNTIFS(C$2:C$999, C432, H$2:H$999, H432, M$2:M$999, "&lt;"&amp;M432)+1=1, 9, IF(COUNTIFS(C$2:C$999, C432, H$2:H$999, H432, M$2:M$999, "&lt;"&amp;M432)+1&lt;=8, 10-(COUNTIFS(C$2:C$999, C432, H$2:H$999, H432, M$2:M$999, "&lt;"&amp;M432)+1)-1, "")))</f>
        <v>0</v>
      </c>
      <c r="Q432" s="3">
        <f>IF(AND(N432&lt;&gt;"", O432&lt;&gt;""), 1, "")</f>
        <v>0</v>
      </c>
    </row>
    <row r="433" spans="1:17">
      <c r="A433">
        <v>432</v>
      </c>
      <c r="B433" t="s">
        <v>38</v>
      </c>
      <c r="C433" t="s">
        <v>62</v>
      </c>
      <c r="D433" t="s">
        <v>67</v>
      </c>
      <c r="E433" t="s">
        <v>71</v>
      </c>
      <c r="F433" t="s">
        <v>337</v>
      </c>
      <c r="G433" t="s">
        <v>399</v>
      </c>
      <c r="H433" t="s">
        <v>405</v>
      </c>
      <c r="I433" t="s">
        <v>664</v>
      </c>
      <c r="M433" s="1">
        <f>AVERAGE(J433:L433)</f>
        <v>0</v>
      </c>
      <c r="N433" s="1">
        <f>M433</f>
        <v>0</v>
      </c>
      <c r="P433" s="3">
        <f>IF(OR(H433="O", NOT(ISNUMBER(M433))), "", IF(COUNTIFS(C$2:C$999, C433, H$2:H$999, H433, M$2:M$999, "&lt;"&amp;M433)+1=1, 9, IF(COUNTIFS(C$2:C$999, C433, H$2:H$999, H433, M$2:M$999, "&lt;"&amp;M433)+1&lt;=8, 10-(COUNTIFS(C$2:C$999, C433, H$2:H$999, H433, M$2:M$999, "&lt;"&amp;M433)+1)-1, "")))</f>
        <v>0</v>
      </c>
      <c r="Q433" s="3">
        <f>IF(AND(N433&lt;&gt;"", O433&lt;&gt;""), 1, "")</f>
        <v>0</v>
      </c>
    </row>
    <row r="434" spans="1:17">
      <c r="A434">
        <v>433</v>
      </c>
      <c r="B434" t="s">
        <v>38</v>
      </c>
      <c r="C434" t="s">
        <v>62</v>
      </c>
      <c r="D434" t="s">
        <v>67</v>
      </c>
      <c r="E434" t="s">
        <v>72</v>
      </c>
      <c r="F434" t="s">
        <v>177</v>
      </c>
      <c r="G434" t="s">
        <v>401</v>
      </c>
      <c r="H434" t="s">
        <v>406</v>
      </c>
      <c r="I434" t="s">
        <v>504</v>
      </c>
      <c r="M434" s="1">
        <f>AVERAGE(J434:L434)</f>
        <v>0</v>
      </c>
      <c r="N434" s="1">
        <f>M434</f>
        <v>0</v>
      </c>
      <c r="P434" s="3">
        <f>IF(OR(H434="O", NOT(ISNUMBER(M434))), "", IF(COUNTIFS(C$2:C$999, C434, H$2:H$999, H434, M$2:M$999, "&lt;"&amp;M434)+1=1, 9, IF(COUNTIFS(C$2:C$999, C434, H$2:H$999, H434, M$2:M$999, "&lt;"&amp;M434)+1&lt;=8, 10-(COUNTIFS(C$2:C$999, C434, H$2:H$999, H434, M$2:M$999, "&lt;"&amp;M434)+1)-1, "")))</f>
        <v>0</v>
      </c>
      <c r="Q434" s="3">
        <f>IF(AND(N434&lt;&gt;"", O434&lt;&gt;""), 1, "")</f>
        <v>0</v>
      </c>
    </row>
    <row r="435" spans="1:17">
      <c r="A435">
        <v>434</v>
      </c>
      <c r="B435" t="s">
        <v>38</v>
      </c>
      <c r="C435" t="s">
        <v>62</v>
      </c>
      <c r="D435" t="s">
        <v>67</v>
      </c>
      <c r="E435" t="s">
        <v>73</v>
      </c>
      <c r="F435" t="s">
        <v>115</v>
      </c>
      <c r="G435" t="s">
        <v>399</v>
      </c>
      <c r="H435" t="s">
        <v>405</v>
      </c>
      <c r="I435" t="s">
        <v>442</v>
      </c>
      <c r="M435" s="1">
        <f>AVERAGE(J435:L435)</f>
        <v>0</v>
      </c>
      <c r="N435" s="1">
        <f>M435</f>
        <v>0</v>
      </c>
      <c r="P435" s="3">
        <f>IF(OR(H435="O", NOT(ISNUMBER(M435))), "", IF(COUNTIFS(C$2:C$999, C435, H$2:H$999, H435, M$2:M$999, "&lt;"&amp;M435)+1=1, 9, IF(COUNTIFS(C$2:C$999, C435, H$2:H$999, H435, M$2:M$999, "&lt;"&amp;M435)+1&lt;=8, 10-(COUNTIFS(C$2:C$999, C435, H$2:H$999, H435, M$2:M$999, "&lt;"&amp;M435)+1)-1, "")))</f>
        <v>0</v>
      </c>
      <c r="Q435" s="3">
        <f>IF(AND(N435&lt;&gt;"", O435&lt;&gt;""), 1, "")</f>
        <v>0</v>
      </c>
    </row>
    <row r="436" spans="1:17">
      <c r="A436">
        <v>435</v>
      </c>
      <c r="B436" t="s">
        <v>38</v>
      </c>
      <c r="C436" t="s">
        <v>62</v>
      </c>
      <c r="D436" t="s">
        <v>67</v>
      </c>
      <c r="E436" t="s">
        <v>74</v>
      </c>
      <c r="F436" t="s">
        <v>209</v>
      </c>
      <c r="G436" t="s">
        <v>394</v>
      </c>
      <c r="H436" t="s">
        <v>406</v>
      </c>
      <c r="I436" t="s">
        <v>536</v>
      </c>
      <c r="M436" s="1">
        <f>AVERAGE(J436:L436)</f>
        <v>0</v>
      </c>
      <c r="N436" s="1">
        <f>M436</f>
        <v>0</v>
      </c>
      <c r="P436" s="3">
        <f>IF(OR(H436="O", NOT(ISNUMBER(M436))), "", IF(COUNTIFS(C$2:C$999, C436, H$2:H$999, H436, M$2:M$999, "&lt;"&amp;M436)+1=1, 9, IF(COUNTIFS(C$2:C$999, C436, H$2:H$999, H436, M$2:M$999, "&lt;"&amp;M436)+1&lt;=8, 10-(COUNTIFS(C$2:C$999, C436, H$2:H$999, H436, M$2:M$999, "&lt;"&amp;M436)+1)-1, "")))</f>
        <v>0</v>
      </c>
      <c r="Q436" s="3">
        <f>IF(AND(N436&lt;&gt;"", O436&lt;&gt;""), 1, "")</f>
        <v>0</v>
      </c>
    </row>
    <row r="437" spans="1:17">
      <c r="A437">
        <v>436</v>
      </c>
      <c r="B437" t="s">
        <v>38</v>
      </c>
      <c r="C437" t="s">
        <v>62</v>
      </c>
      <c r="D437" t="s">
        <v>67</v>
      </c>
      <c r="E437" t="s">
        <v>75</v>
      </c>
      <c r="F437" t="s">
        <v>358</v>
      </c>
      <c r="G437" t="s">
        <v>399</v>
      </c>
      <c r="H437" t="s">
        <v>406</v>
      </c>
      <c r="I437" t="s">
        <v>685</v>
      </c>
      <c r="M437" s="1">
        <f>AVERAGE(J437:L437)</f>
        <v>0</v>
      </c>
      <c r="N437" s="1">
        <f>M437</f>
        <v>0</v>
      </c>
      <c r="P437" s="3">
        <f>IF(OR(H437="O", NOT(ISNUMBER(M437))), "", IF(COUNTIFS(C$2:C$999, C437, H$2:H$999, H437, M$2:M$999, "&lt;"&amp;M437)+1=1, 9, IF(COUNTIFS(C$2:C$999, C437, H$2:H$999, H437, M$2:M$999, "&lt;"&amp;M437)+1&lt;=8, 10-(COUNTIFS(C$2:C$999, C437, H$2:H$999, H437, M$2:M$999, "&lt;"&amp;M437)+1)-1, "")))</f>
        <v>0</v>
      </c>
      <c r="Q437" s="3">
        <f>IF(AND(N437&lt;&gt;"", O437&lt;&gt;""), 1, "")</f>
        <v>0</v>
      </c>
    </row>
    <row r="438" spans="1:17">
      <c r="A438">
        <v>437</v>
      </c>
      <c r="B438" t="s">
        <v>38</v>
      </c>
      <c r="C438" t="s">
        <v>62</v>
      </c>
      <c r="D438" t="s">
        <v>67</v>
      </c>
      <c r="E438" t="s">
        <v>76</v>
      </c>
      <c r="F438" t="s">
        <v>210</v>
      </c>
      <c r="G438" t="s">
        <v>394</v>
      </c>
      <c r="H438" t="s">
        <v>405</v>
      </c>
      <c r="I438" t="s">
        <v>537</v>
      </c>
      <c r="M438" s="1">
        <f>AVERAGE(J438:L438)</f>
        <v>0</v>
      </c>
      <c r="N438" s="1">
        <f>M438</f>
        <v>0</v>
      </c>
      <c r="P438" s="3">
        <f>IF(OR(H438="O", NOT(ISNUMBER(M438))), "", IF(COUNTIFS(C$2:C$999, C438, H$2:H$999, H438, M$2:M$999, "&lt;"&amp;M438)+1=1, 9, IF(COUNTIFS(C$2:C$999, C438, H$2:H$999, H438, M$2:M$999, "&lt;"&amp;M438)+1&lt;=8, 10-(COUNTIFS(C$2:C$999, C438, H$2:H$999, H438, M$2:M$999, "&lt;"&amp;M438)+1)-1, "")))</f>
        <v>0</v>
      </c>
      <c r="Q438" s="3">
        <f>IF(AND(N438&lt;&gt;"", O438&lt;&gt;""), 1, "")</f>
        <v>0</v>
      </c>
    </row>
    <row r="439" spans="1:17">
      <c r="A439">
        <v>438</v>
      </c>
      <c r="B439" t="s">
        <v>38</v>
      </c>
      <c r="C439" t="s">
        <v>62</v>
      </c>
      <c r="D439" t="s">
        <v>67</v>
      </c>
      <c r="E439" t="s">
        <v>77</v>
      </c>
      <c r="F439" t="s">
        <v>108</v>
      </c>
      <c r="G439" t="s">
        <v>402</v>
      </c>
      <c r="H439" t="s">
        <v>406</v>
      </c>
      <c r="I439" t="s">
        <v>435</v>
      </c>
      <c r="M439" s="1">
        <f>AVERAGE(J439:L439)</f>
        <v>0</v>
      </c>
      <c r="N439" s="1">
        <f>M439</f>
        <v>0</v>
      </c>
      <c r="P439" s="3">
        <f>IF(OR(H439="O", NOT(ISNUMBER(M439))), "", IF(COUNTIFS(C$2:C$999, C439, H$2:H$999, H439, M$2:M$999, "&lt;"&amp;M439)+1=1, 9, IF(COUNTIFS(C$2:C$999, C439, H$2:H$999, H439, M$2:M$999, "&lt;"&amp;M439)+1&lt;=8, 10-(COUNTIFS(C$2:C$999, C439, H$2:H$999, H439, M$2:M$999, "&lt;"&amp;M439)+1)-1, "")))</f>
        <v>0</v>
      </c>
      <c r="Q439" s="3">
        <f>IF(AND(N439&lt;&gt;"", O439&lt;&gt;""), 1, "")</f>
        <v>0</v>
      </c>
    </row>
    <row r="440" spans="1:17">
      <c r="A440">
        <v>439</v>
      </c>
      <c r="B440" t="s">
        <v>38</v>
      </c>
      <c r="C440" t="s">
        <v>62</v>
      </c>
      <c r="D440" t="s">
        <v>67</v>
      </c>
      <c r="E440" t="s">
        <v>78</v>
      </c>
      <c r="F440" t="s">
        <v>110</v>
      </c>
      <c r="G440" t="s">
        <v>400</v>
      </c>
      <c r="H440" t="s">
        <v>406</v>
      </c>
      <c r="I440" t="s">
        <v>437</v>
      </c>
      <c r="M440" s="1">
        <f>AVERAGE(J440:L440)</f>
        <v>0</v>
      </c>
      <c r="N440" s="1">
        <f>M440</f>
        <v>0</v>
      </c>
      <c r="P440" s="3">
        <f>IF(OR(H440="O", NOT(ISNUMBER(M440))), "", IF(COUNTIFS(C$2:C$999, C440, H$2:H$999, H440, M$2:M$999, "&lt;"&amp;M440)+1=1, 9, IF(COUNTIFS(C$2:C$999, C440, H$2:H$999, H440, M$2:M$999, "&lt;"&amp;M440)+1&lt;=8, 10-(COUNTIFS(C$2:C$999, C440, H$2:H$999, H440, M$2:M$999, "&lt;"&amp;M440)+1)-1, "")))</f>
        <v>0</v>
      </c>
      <c r="Q440" s="3">
        <f>IF(AND(N440&lt;&gt;"", O440&lt;&gt;""), 1, "")</f>
        <v>0</v>
      </c>
    </row>
    <row r="441" spans="1:17">
      <c r="A441">
        <v>440</v>
      </c>
      <c r="B441" t="s">
        <v>38</v>
      </c>
      <c r="C441" t="s">
        <v>62</v>
      </c>
      <c r="D441" t="s">
        <v>67</v>
      </c>
      <c r="E441" t="s">
        <v>80</v>
      </c>
      <c r="F441" t="s">
        <v>359</v>
      </c>
      <c r="G441" t="s">
        <v>392</v>
      </c>
      <c r="H441" t="s">
        <v>406</v>
      </c>
      <c r="I441" t="s">
        <v>686</v>
      </c>
      <c r="M441" s="1">
        <f>AVERAGE(J441:L441)</f>
        <v>0</v>
      </c>
      <c r="N441" s="1">
        <f>M441</f>
        <v>0</v>
      </c>
      <c r="P441" s="3">
        <f>IF(OR(H441="O", NOT(ISNUMBER(M441))), "", IF(COUNTIFS(C$2:C$999, C441, H$2:H$999, H441, M$2:M$999, "&lt;"&amp;M441)+1=1, 9, IF(COUNTIFS(C$2:C$999, C441, H$2:H$999, H441, M$2:M$999, "&lt;"&amp;M441)+1&lt;=8, 10-(COUNTIFS(C$2:C$999, C441, H$2:H$999, H441, M$2:M$999, "&lt;"&amp;M441)+1)-1, "")))</f>
        <v>0</v>
      </c>
      <c r="Q441" s="3">
        <f>IF(AND(N441&lt;&gt;"", O441&lt;&gt;""), 1, "")</f>
        <v>0</v>
      </c>
    </row>
    <row r="442" spans="1:17">
      <c r="A442">
        <v>441</v>
      </c>
      <c r="B442" t="s">
        <v>39</v>
      </c>
      <c r="C442" t="s">
        <v>63</v>
      </c>
      <c r="D442" t="s">
        <v>65</v>
      </c>
      <c r="E442" t="s">
        <v>71</v>
      </c>
      <c r="F442" t="s">
        <v>360</v>
      </c>
      <c r="G442" t="s">
        <v>390</v>
      </c>
      <c r="H442" t="s">
        <v>404</v>
      </c>
      <c r="I442" t="s">
        <v>687</v>
      </c>
      <c r="M442" s="1">
        <f>AVERAGE(J442:L442)</f>
        <v>0</v>
      </c>
      <c r="N442" s="1">
        <f>M442</f>
        <v>0</v>
      </c>
      <c r="P442" s="3">
        <f>IF(OR(H442="O", NOT(ISNUMBER(M442))), "", IF(COUNTIFS(C$2:C$999, C442, H$2:H$999, H442, M$2:M$999, "&lt;"&amp;M442)+1=1, 9, IF(COUNTIFS(C$2:C$999, C442, H$2:H$999, H442, M$2:M$999, "&lt;"&amp;M442)+1&lt;=8, 10-(COUNTIFS(C$2:C$999, C442, H$2:H$999, H442, M$2:M$999, "&lt;"&amp;M442)+1)-1, "")))</f>
        <v>0</v>
      </c>
      <c r="Q442" s="3">
        <f>IF(AND(N442&lt;&gt;"", O442&lt;&gt;""), 1, "")</f>
        <v>0</v>
      </c>
    </row>
    <row r="443" spans="1:17">
      <c r="A443">
        <v>442</v>
      </c>
      <c r="B443" t="s">
        <v>39</v>
      </c>
      <c r="C443" t="s">
        <v>63</v>
      </c>
      <c r="D443" t="s">
        <v>65</v>
      </c>
      <c r="E443" t="s">
        <v>72</v>
      </c>
      <c r="F443" t="s">
        <v>361</v>
      </c>
      <c r="G443" t="s">
        <v>391</v>
      </c>
      <c r="H443" t="s">
        <v>404</v>
      </c>
      <c r="I443" t="s">
        <v>688</v>
      </c>
      <c r="M443" s="1">
        <f>AVERAGE(J443:L443)</f>
        <v>0</v>
      </c>
      <c r="N443" s="1">
        <f>M443</f>
        <v>0</v>
      </c>
      <c r="P443" s="3">
        <f>IF(OR(H443="O", NOT(ISNUMBER(M443))), "", IF(COUNTIFS(C$2:C$999, C443, H$2:H$999, H443, M$2:M$999, "&lt;"&amp;M443)+1=1, 9, IF(COUNTIFS(C$2:C$999, C443, H$2:H$999, H443, M$2:M$999, "&lt;"&amp;M443)+1&lt;=8, 10-(COUNTIFS(C$2:C$999, C443, H$2:H$999, H443, M$2:M$999, "&lt;"&amp;M443)+1)-1, "")))</f>
        <v>0</v>
      </c>
      <c r="Q443" s="3">
        <f>IF(AND(N443&lt;&gt;"", O443&lt;&gt;""), 1, "")</f>
        <v>0</v>
      </c>
    </row>
    <row r="444" spans="1:17">
      <c r="A444">
        <v>443</v>
      </c>
      <c r="B444" t="s">
        <v>39</v>
      </c>
      <c r="C444" t="s">
        <v>63</v>
      </c>
      <c r="D444" t="s">
        <v>65</v>
      </c>
      <c r="E444" t="s">
        <v>73</v>
      </c>
      <c r="F444" t="s">
        <v>362</v>
      </c>
      <c r="G444" t="s">
        <v>393</v>
      </c>
      <c r="H444" t="s">
        <v>404</v>
      </c>
      <c r="I444" t="s">
        <v>689</v>
      </c>
      <c r="M444" s="1">
        <f>AVERAGE(J444:L444)</f>
        <v>0</v>
      </c>
      <c r="N444" s="1">
        <f>M444</f>
        <v>0</v>
      </c>
      <c r="P444" s="3">
        <f>IF(OR(H444="O", NOT(ISNUMBER(M444))), "", IF(COUNTIFS(C$2:C$999, C444, H$2:H$999, H444, M$2:M$999, "&lt;"&amp;M444)+1=1, 9, IF(COUNTIFS(C$2:C$999, C444, H$2:H$999, H444, M$2:M$999, "&lt;"&amp;M444)+1&lt;=8, 10-(COUNTIFS(C$2:C$999, C444, H$2:H$999, H444, M$2:M$999, "&lt;"&amp;M444)+1)-1, "")))</f>
        <v>0</v>
      </c>
      <c r="Q444" s="3">
        <f>IF(AND(N444&lt;&gt;"", O444&lt;&gt;""), 1, "")</f>
        <v>0</v>
      </c>
    </row>
    <row r="445" spans="1:17">
      <c r="A445">
        <v>444</v>
      </c>
      <c r="B445" t="s">
        <v>39</v>
      </c>
      <c r="C445" t="s">
        <v>63</v>
      </c>
      <c r="D445" t="s">
        <v>65</v>
      </c>
      <c r="E445" t="s">
        <v>74</v>
      </c>
      <c r="F445" t="s">
        <v>363</v>
      </c>
      <c r="G445" t="s">
        <v>392</v>
      </c>
      <c r="H445" t="s">
        <v>404</v>
      </c>
      <c r="I445" t="s">
        <v>690</v>
      </c>
      <c r="M445" s="1">
        <f>AVERAGE(J445:L445)</f>
        <v>0</v>
      </c>
      <c r="N445" s="1">
        <f>M445</f>
        <v>0</v>
      </c>
      <c r="P445" s="3">
        <f>IF(OR(H445="O", NOT(ISNUMBER(M445))), "", IF(COUNTIFS(C$2:C$999, C445, H$2:H$999, H445, M$2:M$999, "&lt;"&amp;M445)+1=1, 9, IF(COUNTIFS(C$2:C$999, C445, H$2:H$999, H445, M$2:M$999, "&lt;"&amp;M445)+1&lt;=8, 10-(COUNTIFS(C$2:C$999, C445, H$2:H$999, H445, M$2:M$999, "&lt;"&amp;M445)+1)-1, "")))</f>
        <v>0</v>
      </c>
      <c r="Q445" s="3">
        <f>IF(AND(N445&lt;&gt;"", O445&lt;&gt;""), 1, "")</f>
        <v>0</v>
      </c>
    </row>
    <row r="446" spans="1:17">
      <c r="A446">
        <v>445</v>
      </c>
      <c r="B446" t="s">
        <v>39</v>
      </c>
      <c r="C446" t="s">
        <v>63</v>
      </c>
      <c r="D446" t="s">
        <v>65</v>
      </c>
      <c r="E446" t="s">
        <v>75</v>
      </c>
      <c r="F446" t="s">
        <v>364</v>
      </c>
      <c r="G446" t="s">
        <v>394</v>
      </c>
      <c r="H446" t="s">
        <v>404</v>
      </c>
      <c r="I446" t="s">
        <v>691</v>
      </c>
      <c r="M446" s="1">
        <f>AVERAGE(J446:L446)</f>
        <v>0</v>
      </c>
      <c r="N446" s="1">
        <f>M446</f>
        <v>0</v>
      </c>
      <c r="P446" s="3">
        <f>IF(OR(H446="O", NOT(ISNUMBER(M446))), "", IF(COUNTIFS(C$2:C$999, C446, H$2:H$999, H446, M$2:M$999, "&lt;"&amp;M446)+1=1, 9, IF(COUNTIFS(C$2:C$999, C446, H$2:H$999, H446, M$2:M$999, "&lt;"&amp;M446)+1&lt;=8, 10-(COUNTIFS(C$2:C$999, C446, H$2:H$999, H446, M$2:M$999, "&lt;"&amp;M446)+1)-1, "")))</f>
        <v>0</v>
      </c>
      <c r="Q446" s="3">
        <f>IF(AND(N446&lt;&gt;"", O446&lt;&gt;""), 1, "")</f>
        <v>0</v>
      </c>
    </row>
    <row r="447" spans="1:17">
      <c r="A447">
        <v>446</v>
      </c>
      <c r="B447" t="s">
        <v>39</v>
      </c>
      <c r="C447" t="s">
        <v>63</v>
      </c>
      <c r="D447" t="s">
        <v>65</v>
      </c>
      <c r="E447" t="s">
        <v>76</v>
      </c>
      <c r="F447" t="s">
        <v>365</v>
      </c>
      <c r="G447" t="s">
        <v>395</v>
      </c>
      <c r="H447" t="s">
        <v>404</v>
      </c>
      <c r="I447" t="s">
        <v>692</v>
      </c>
      <c r="M447" s="1">
        <f>AVERAGE(J447:L447)</f>
        <v>0</v>
      </c>
      <c r="N447" s="1">
        <f>M447</f>
        <v>0</v>
      </c>
      <c r="P447" s="3">
        <f>IF(OR(H447="O", NOT(ISNUMBER(M447))), "", IF(COUNTIFS(C$2:C$999, C447, H$2:H$999, H447, M$2:M$999, "&lt;"&amp;M447)+1=1, 9, IF(COUNTIFS(C$2:C$999, C447, H$2:H$999, H447, M$2:M$999, "&lt;"&amp;M447)+1&lt;=8, 10-(COUNTIFS(C$2:C$999, C447, H$2:H$999, H447, M$2:M$999, "&lt;"&amp;M447)+1)-1, "")))</f>
        <v>0</v>
      </c>
      <c r="Q447" s="3">
        <f>IF(AND(N447&lt;&gt;"", O447&lt;&gt;""), 1, "")</f>
        <v>0</v>
      </c>
    </row>
    <row r="448" spans="1:17">
      <c r="A448">
        <v>447</v>
      </c>
      <c r="B448" t="s">
        <v>39</v>
      </c>
      <c r="C448" t="s">
        <v>63</v>
      </c>
      <c r="D448" t="s">
        <v>65</v>
      </c>
      <c r="E448" t="s">
        <v>77</v>
      </c>
      <c r="F448" t="s">
        <v>366</v>
      </c>
      <c r="G448" t="s">
        <v>396</v>
      </c>
      <c r="H448" t="s">
        <v>404</v>
      </c>
      <c r="I448" t="s">
        <v>693</v>
      </c>
      <c r="M448" s="1">
        <f>AVERAGE(J448:L448)</f>
        <v>0</v>
      </c>
      <c r="N448" s="1">
        <f>M448</f>
        <v>0</v>
      </c>
      <c r="P448" s="3">
        <f>IF(OR(H448="O", NOT(ISNUMBER(M448))), "", IF(COUNTIFS(C$2:C$999, C448, H$2:H$999, H448, M$2:M$999, "&lt;"&amp;M448)+1=1, 9, IF(COUNTIFS(C$2:C$999, C448, H$2:H$999, H448, M$2:M$999, "&lt;"&amp;M448)+1&lt;=8, 10-(COUNTIFS(C$2:C$999, C448, H$2:H$999, H448, M$2:M$999, "&lt;"&amp;M448)+1)-1, "")))</f>
        <v>0</v>
      </c>
      <c r="Q448" s="3">
        <f>IF(AND(N448&lt;&gt;"", O448&lt;&gt;""), 1, "")</f>
        <v>0</v>
      </c>
    </row>
    <row r="449" spans="1:17">
      <c r="A449">
        <v>448</v>
      </c>
      <c r="B449" t="s">
        <v>39</v>
      </c>
      <c r="C449" t="s">
        <v>63</v>
      </c>
      <c r="D449" t="s">
        <v>65</v>
      </c>
      <c r="E449" t="s">
        <v>78</v>
      </c>
      <c r="F449" t="s">
        <v>367</v>
      </c>
      <c r="G449" t="s">
        <v>397</v>
      </c>
      <c r="H449" t="s">
        <v>404</v>
      </c>
      <c r="I449" t="s">
        <v>694</v>
      </c>
      <c r="M449" s="1">
        <f>AVERAGE(J449:L449)</f>
        <v>0</v>
      </c>
      <c r="N449" s="1">
        <f>M449</f>
        <v>0</v>
      </c>
      <c r="P449" s="3">
        <f>IF(OR(H449="O", NOT(ISNUMBER(M449))), "", IF(COUNTIFS(C$2:C$999, C449, H$2:H$999, H449, M$2:M$999, "&lt;"&amp;M449)+1=1, 9, IF(COUNTIFS(C$2:C$999, C449, H$2:H$999, H449, M$2:M$999, "&lt;"&amp;M449)+1&lt;=8, 10-(COUNTIFS(C$2:C$999, C449, H$2:H$999, H449, M$2:M$999, "&lt;"&amp;M449)+1)-1, "")))</f>
        <v>0</v>
      </c>
      <c r="Q449" s="3">
        <f>IF(AND(N449&lt;&gt;"", O449&lt;&gt;""), 1, "")</f>
        <v>0</v>
      </c>
    </row>
    <row r="450" spans="1:17">
      <c r="A450">
        <v>449</v>
      </c>
      <c r="B450" t="s">
        <v>39</v>
      </c>
      <c r="C450" t="s">
        <v>63</v>
      </c>
      <c r="D450" t="s">
        <v>66</v>
      </c>
      <c r="E450" t="s">
        <v>79</v>
      </c>
      <c r="F450" t="s">
        <v>368</v>
      </c>
      <c r="G450" t="s">
        <v>392</v>
      </c>
      <c r="H450" t="s">
        <v>406</v>
      </c>
      <c r="I450" t="s">
        <v>695</v>
      </c>
      <c r="M450" s="1">
        <f>AVERAGE(J450:L450)</f>
        <v>0</v>
      </c>
      <c r="N450" s="1">
        <f>M450</f>
        <v>0</v>
      </c>
      <c r="P450" s="3">
        <f>IF(OR(H450="O", NOT(ISNUMBER(M450))), "", IF(COUNTIFS(C$2:C$999, C450, H$2:H$999, H450, M$2:M$999, "&lt;"&amp;M450)+1=1, 9, IF(COUNTIFS(C$2:C$999, C450, H$2:H$999, H450, M$2:M$999, "&lt;"&amp;M450)+1&lt;=8, 10-(COUNTIFS(C$2:C$999, C450, H$2:H$999, H450, M$2:M$999, "&lt;"&amp;M450)+1)-1, "")))</f>
        <v>0</v>
      </c>
      <c r="Q450" s="3">
        <f>IF(AND(N450&lt;&gt;"", O450&lt;&gt;""), 1, "")</f>
        <v>0</v>
      </c>
    </row>
    <row r="451" spans="1:17">
      <c r="A451">
        <v>450</v>
      </c>
      <c r="B451" t="s">
        <v>39</v>
      </c>
      <c r="C451" t="s">
        <v>63</v>
      </c>
      <c r="D451" t="s">
        <v>66</v>
      </c>
      <c r="E451" t="s">
        <v>71</v>
      </c>
      <c r="F451" t="s">
        <v>369</v>
      </c>
      <c r="G451" t="s">
        <v>402</v>
      </c>
      <c r="H451" t="s">
        <v>406</v>
      </c>
      <c r="I451" t="s">
        <v>696</v>
      </c>
      <c r="M451" s="1">
        <f>AVERAGE(J451:L451)</f>
        <v>0</v>
      </c>
      <c r="N451" s="1">
        <f>M451</f>
        <v>0</v>
      </c>
      <c r="P451" s="3">
        <f>IF(OR(H451="O", NOT(ISNUMBER(M451))), "", IF(COUNTIFS(C$2:C$999, C451, H$2:H$999, H451, M$2:M$999, "&lt;"&amp;M451)+1=1, 9, IF(COUNTIFS(C$2:C$999, C451, H$2:H$999, H451, M$2:M$999, "&lt;"&amp;M451)+1&lt;=8, 10-(COUNTIFS(C$2:C$999, C451, H$2:H$999, H451, M$2:M$999, "&lt;"&amp;M451)+1)-1, "")))</f>
        <v>0</v>
      </c>
      <c r="Q451" s="3">
        <f>IF(AND(N451&lt;&gt;"", O451&lt;&gt;""), 1, "")</f>
        <v>0</v>
      </c>
    </row>
    <row r="452" spans="1:17">
      <c r="A452">
        <v>451</v>
      </c>
      <c r="B452" t="s">
        <v>39</v>
      </c>
      <c r="C452" t="s">
        <v>63</v>
      </c>
      <c r="D452" t="s">
        <v>66</v>
      </c>
      <c r="E452" t="s">
        <v>72</v>
      </c>
      <c r="F452" t="s">
        <v>370</v>
      </c>
      <c r="G452" t="s">
        <v>401</v>
      </c>
      <c r="H452" t="s">
        <v>406</v>
      </c>
      <c r="I452" t="s">
        <v>697</v>
      </c>
      <c r="M452" s="1">
        <f>AVERAGE(J452:L452)</f>
        <v>0</v>
      </c>
      <c r="N452" s="1">
        <f>M452</f>
        <v>0</v>
      </c>
      <c r="P452" s="3">
        <f>IF(OR(H452="O", NOT(ISNUMBER(M452))), "", IF(COUNTIFS(C$2:C$999, C452, H$2:H$999, H452, M$2:M$999, "&lt;"&amp;M452)+1=1, 9, IF(COUNTIFS(C$2:C$999, C452, H$2:H$999, H452, M$2:M$999, "&lt;"&amp;M452)+1&lt;=8, 10-(COUNTIFS(C$2:C$999, C452, H$2:H$999, H452, M$2:M$999, "&lt;"&amp;M452)+1)-1, "")))</f>
        <v>0</v>
      </c>
      <c r="Q452" s="3">
        <f>IF(AND(N452&lt;&gt;"", O452&lt;&gt;""), 1, "")</f>
        <v>0</v>
      </c>
    </row>
    <row r="453" spans="1:17">
      <c r="A453">
        <v>452</v>
      </c>
      <c r="B453" t="s">
        <v>39</v>
      </c>
      <c r="C453" t="s">
        <v>63</v>
      </c>
      <c r="D453" t="s">
        <v>66</v>
      </c>
      <c r="E453" t="s">
        <v>73</v>
      </c>
      <c r="F453" t="s">
        <v>371</v>
      </c>
      <c r="G453" t="s">
        <v>400</v>
      </c>
      <c r="H453" t="s">
        <v>406</v>
      </c>
      <c r="I453" t="s">
        <v>698</v>
      </c>
      <c r="M453" s="1">
        <f>AVERAGE(J453:L453)</f>
        <v>0</v>
      </c>
      <c r="N453" s="1">
        <f>M453</f>
        <v>0</v>
      </c>
      <c r="P453" s="3">
        <f>IF(OR(H453="O", NOT(ISNUMBER(M453))), "", IF(COUNTIFS(C$2:C$999, C453, H$2:H$999, H453, M$2:M$999, "&lt;"&amp;M453)+1=1, 9, IF(COUNTIFS(C$2:C$999, C453, H$2:H$999, H453, M$2:M$999, "&lt;"&amp;M453)+1&lt;=8, 10-(COUNTIFS(C$2:C$999, C453, H$2:H$999, H453, M$2:M$999, "&lt;"&amp;M453)+1)-1, "")))</f>
        <v>0</v>
      </c>
      <c r="Q453" s="3">
        <f>IF(AND(N453&lt;&gt;"", O453&lt;&gt;""), 1, "")</f>
        <v>0</v>
      </c>
    </row>
    <row r="454" spans="1:17">
      <c r="A454">
        <v>453</v>
      </c>
      <c r="B454" t="s">
        <v>39</v>
      </c>
      <c r="C454" t="s">
        <v>63</v>
      </c>
      <c r="D454" t="s">
        <v>66</v>
      </c>
      <c r="E454" t="s">
        <v>74</v>
      </c>
      <c r="F454" t="s">
        <v>372</v>
      </c>
      <c r="G454" t="s">
        <v>394</v>
      </c>
      <c r="H454" t="s">
        <v>406</v>
      </c>
      <c r="I454" t="s">
        <v>699</v>
      </c>
      <c r="M454" s="1">
        <f>AVERAGE(J454:L454)</f>
        <v>0</v>
      </c>
      <c r="N454" s="1">
        <f>M454</f>
        <v>0</v>
      </c>
      <c r="P454" s="3">
        <f>IF(OR(H454="O", NOT(ISNUMBER(M454))), "", IF(COUNTIFS(C$2:C$999, C454, H$2:H$999, H454, M$2:M$999, "&lt;"&amp;M454)+1=1, 9, IF(COUNTIFS(C$2:C$999, C454, H$2:H$999, H454, M$2:M$999, "&lt;"&amp;M454)+1&lt;=8, 10-(COUNTIFS(C$2:C$999, C454, H$2:H$999, H454, M$2:M$999, "&lt;"&amp;M454)+1)-1, "")))</f>
        <v>0</v>
      </c>
      <c r="Q454" s="3">
        <f>IF(AND(N454&lt;&gt;"", O454&lt;&gt;""), 1, "")</f>
        <v>0</v>
      </c>
    </row>
    <row r="455" spans="1:17">
      <c r="A455">
        <v>454</v>
      </c>
      <c r="B455" t="s">
        <v>39</v>
      </c>
      <c r="C455" t="s">
        <v>63</v>
      </c>
      <c r="D455" t="s">
        <v>66</v>
      </c>
      <c r="E455" t="s">
        <v>75</v>
      </c>
      <c r="F455" t="s">
        <v>373</v>
      </c>
      <c r="G455" t="s">
        <v>399</v>
      </c>
      <c r="H455" t="s">
        <v>406</v>
      </c>
      <c r="I455" t="s">
        <v>700</v>
      </c>
      <c r="M455" s="1">
        <f>AVERAGE(J455:L455)</f>
        <v>0</v>
      </c>
      <c r="N455" s="1">
        <f>M455</f>
        <v>0</v>
      </c>
      <c r="P455" s="3">
        <f>IF(OR(H455="O", NOT(ISNUMBER(M455))), "", IF(COUNTIFS(C$2:C$999, C455, H$2:H$999, H455, M$2:M$999, "&lt;"&amp;M455)+1=1, 9, IF(COUNTIFS(C$2:C$999, C455, H$2:H$999, H455, M$2:M$999, "&lt;"&amp;M455)+1&lt;=8, 10-(COUNTIFS(C$2:C$999, C455, H$2:H$999, H455, M$2:M$999, "&lt;"&amp;M455)+1)-1, "")))</f>
        <v>0</v>
      </c>
      <c r="Q455" s="3">
        <f>IF(AND(N455&lt;&gt;"", O455&lt;&gt;""), 1, "")</f>
        <v>0</v>
      </c>
    </row>
    <row r="456" spans="1:17">
      <c r="A456">
        <v>455</v>
      </c>
      <c r="B456" t="s">
        <v>39</v>
      </c>
      <c r="C456" t="s">
        <v>63</v>
      </c>
      <c r="D456" t="s">
        <v>66</v>
      </c>
      <c r="E456" t="s">
        <v>76</v>
      </c>
      <c r="F456" t="s">
        <v>374</v>
      </c>
      <c r="G456" t="s">
        <v>403</v>
      </c>
      <c r="H456" t="s">
        <v>406</v>
      </c>
      <c r="I456" t="s">
        <v>701</v>
      </c>
      <c r="M456" s="1">
        <f>AVERAGE(J456:L456)</f>
        <v>0</v>
      </c>
      <c r="N456" s="1">
        <f>M456</f>
        <v>0</v>
      </c>
      <c r="P456" s="3">
        <f>IF(OR(H456="O", NOT(ISNUMBER(M456))), "", IF(COUNTIFS(C$2:C$999, C456, H$2:H$999, H456, M$2:M$999, "&lt;"&amp;M456)+1=1, 9, IF(COUNTIFS(C$2:C$999, C456, H$2:H$999, H456, M$2:M$999, "&lt;"&amp;M456)+1&lt;=8, 10-(COUNTIFS(C$2:C$999, C456, H$2:H$999, H456, M$2:M$999, "&lt;"&amp;M456)+1)-1, "")))</f>
        <v>0</v>
      </c>
      <c r="Q456" s="3">
        <f>IF(AND(N456&lt;&gt;"", O456&lt;&gt;""), 1, "")</f>
        <v>0</v>
      </c>
    </row>
    <row r="457" spans="1:17">
      <c r="A457">
        <v>456</v>
      </c>
      <c r="B457" t="s">
        <v>39</v>
      </c>
      <c r="C457" t="s">
        <v>63</v>
      </c>
      <c r="D457" t="s">
        <v>66</v>
      </c>
      <c r="E457" t="s">
        <v>77</v>
      </c>
      <c r="F457" t="s">
        <v>375</v>
      </c>
      <c r="G457" t="s">
        <v>394</v>
      </c>
      <c r="H457" t="s">
        <v>405</v>
      </c>
      <c r="I457" t="s">
        <v>702</v>
      </c>
      <c r="M457" s="1">
        <f>AVERAGE(J457:L457)</f>
        <v>0</v>
      </c>
      <c r="N457" s="1">
        <f>M457</f>
        <v>0</v>
      </c>
      <c r="P457" s="3">
        <f>IF(OR(H457="O", NOT(ISNUMBER(M457))), "", IF(COUNTIFS(C$2:C$999, C457, H$2:H$999, H457, M$2:M$999, "&lt;"&amp;M457)+1=1, 9, IF(COUNTIFS(C$2:C$999, C457, H$2:H$999, H457, M$2:M$999, "&lt;"&amp;M457)+1&lt;=8, 10-(COUNTIFS(C$2:C$999, C457, H$2:H$999, H457, M$2:M$999, "&lt;"&amp;M457)+1)-1, "")))</f>
        <v>0</v>
      </c>
      <c r="Q457" s="3">
        <f>IF(AND(N457&lt;&gt;"", O457&lt;&gt;""), 1, "")</f>
        <v>0</v>
      </c>
    </row>
    <row r="458" spans="1:17">
      <c r="A458">
        <v>457</v>
      </c>
      <c r="B458" t="s">
        <v>39</v>
      </c>
      <c r="C458" t="s">
        <v>63</v>
      </c>
      <c r="D458" t="s">
        <v>66</v>
      </c>
      <c r="E458" t="s">
        <v>78</v>
      </c>
      <c r="F458" t="s">
        <v>376</v>
      </c>
      <c r="G458" t="s">
        <v>394</v>
      </c>
      <c r="H458" t="s">
        <v>405</v>
      </c>
      <c r="I458" t="s">
        <v>703</v>
      </c>
      <c r="M458" s="1">
        <f>AVERAGE(J458:L458)</f>
        <v>0</v>
      </c>
      <c r="N458" s="1">
        <f>M458</f>
        <v>0</v>
      </c>
      <c r="P458" s="3">
        <f>IF(OR(H458="O", NOT(ISNUMBER(M458))), "", IF(COUNTIFS(C$2:C$999, C458, H$2:H$999, H458, M$2:M$999, "&lt;"&amp;M458)+1=1, 9, IF(COUNTIFS(C$2:C$999, C458, H$2:H$999, H458, M$2:M$999, "&lt;"&amp;M458)+1&lt;=8, 10-(COUNTIFS(C$2:C$999, C458, H$2:H$999, H458, M$2:M$999, "&lt;"&amp;M458)+1)-1, "")))</f>
        <v>0</v>
      </c>
      <c r="Q458" s="3">
        <f>IF(AND(N458&lt;&gt;"", O458&lt;&gt;""), 1, "")</f>
        <v>0</v>
      </c>
    </row>
    <row r="459" spans="1:17">
      <c r="A459">
        <v>458</v>
      </c>
      <c r="B459" t="s">
        <v>39</v>
      </c>
      <c r="C459" t="s">
        <v>63</v>
      </c>
      <c r="D459" t="s">
        <v>66</v>
      </c>
      <c r="E459" t="s">
        <v>80</v>
      </c>
      <c r="F459" t="s">
        <v>377</v>
      </c>
      <c r="G459" t="s">
        <v>398</v>
      </c>
      <c r="H459" t="s">
        <v>406</v>
      </c>
      <c r="I459" t="s">
        <v>704</v>
      </c>
      <c r="M459" s="1">
        <f>AVERAGE(J459:L459)</f>
        <v>0</v>
      </c>
      <c r="N459" s="1">
        <f>M459</f>
        <v>0</v>
      </c>
      <c r="P459" s="3">
        <f>IF(OR(H459="O", NOT(ISNUMBER(M459))), "", IF(COUNTIFS(C$2:C$999, C459, H$2:H$999, H459, M$2:M$999, "&lt;"&amp;M459)+1=1, 9, IF(COUNTIFS(C$2:C$999, C459, H$2:H$999, H459, M$2:M$999, "&lt;"&amp;M459)+1&lt;=8, 10-(COUNTIFS(C$2:C$999, C459, H$2:H$999, H459, M$2:M$999, "&lt;"&amp;M459)+1)-1, "")))</f>
        <v>0</v>
      </c>
      <c r="Q459" s="3">
        <f>IF(AND(N459&lt;&gt;"", O459&lt;&gt;""), 1, "")</f>
        <v>0</v>
      </c>
    </row>
    <row r="460" spans="1:17">
      <c r="A460">
        <v>459</v>
      </c>
      <c r="B460" t="s">
        <v>40</v>
      </c>
      <c r="C460" t="s">
        <v>64</v>
      </c>
      <c r="D460" t="s">
        <v>65</v>
      </c>
      <c r="F460" t="s">
        <v>378</v>
      </c>
      <c r="G460" t="s">
        <v>390</v>
      </c>
      <c r="H460" t="s">
        <v>407</v>
      </c>
      <c r="I460" t="s">
        <v>705</v>
      </c>
      <c r="N460" s="3">
        <f>IF(NOT(ISNUMBER(P460)), "", COUNTIFS(P$2:P$999, "&gt;"&amp;P460, B$2:B$999, "SIMULATED EMERGENCY RESPONSE COMPETITION")+1)</f>
        <v>0</v>
      </c>
      <c r="O460" s="3">
        <f>IF(NOT(ISNUMBER(P460)), "", COUNTIFS(P$2:P$999, "&gt;"&amp;P460, B$2:B$999, "SIMULATED EMERGENCY RESPONSE COMPETITION")+1)</f>
        <v>0</v>
      </c>
      <c r="Q460" s="3">
        <f>IF(AND(N460&lt;&gt;"", O460&lt;&gt;""), 1, "")</f>
        <v>0</v>
      </c>
    </row>
    <row r="461" spans="1:17">
      <c r="A461">
        <v>460</v>
      </c>
      <c r="B461" t="s">
        <v>40</v>
      </c>
      <c r="C461" t="s">
        <v>64</v>
      </c>
      <c r="D461" t="s">
        <v>65</v>
      </c>
      <c r="F461" t="s">
        <v>379</v>
      </c>
      <c r="G461" t="s">
        <v>391</v>
      </c>
      <c r="H461" t="s">
        <v>407</v>
      </c>
      <c r="I461" t="s">
        <v>706</v>
      </c>
      <c r="N461" s="3">
        <f>IF(NOT(ISNUMBER(P461)), "", COUNTIFS(P$2:P$999, "&gt;"&amp;P461, B$2:B$999, "SIMULATED EMERGENCY RESPONSE COMPETITION")+1)</f>
        <v>0</v>
      </c>
      <c r="O461" s="3">
        <f>IF(NOT(ISNUMBER(P461)), "", COUNTIFS(P$2:P$999, "&gt;"&amp;P461, B$2:B$999, "SIMULATED EMERGENCY RESPONSE COMPETITION")+1)</f>
        <v>0</v>
      </c>
      <c r="Q461" s="3">
        <f>IF(AND(N461&lt;&gt;"", O461&lt;&gt;""), 1, "")</f>
        <v>0</v>
      </c>
    </row>
    <row r="462" spans="1:17">
      <c r="A462">
        <v>461</v>
      </c>
      <c r="B462" t="s">
        <v>40</v>
      </c>
      <c r="C462" t="s">
        <v>64</v>
      </c>
      <c r="D462" t="s">
        <v>65</v>
      </c>
      <c r="F462" t="s">
        <v>380</v>
      </c>
      <c r="G462" t="s">
        <v>393</v>
      </c>
      <c r="H462" t="s">
        <v>407</v>
      </c>
      <c r="I462" t="s">
        <v>707</v>
      </c>
      <c r="N462" s="3">
        <f>IF(NOT(ISNUMBER(P462)), "", COUNTIFS(P$2:P$999, "&gt;"&amp;P462, B$2:B$999, "SIMULATED EMERGENCY RESPONSE COMPETITION")+1)</f>
        <v>0</v>
      </c>
      <c r="O462" s="3">
        <f>IF(NOT(ISNUMBER(P462)), "", COUNTIFS(P$2:P$999, "&gt;"&amp;P462, B$2:B$999, "SIMULATED EMERGENCY RESPONSE COMPETITION")+1)</f>
        <v>0</v>
      </c>
      <c r="Q462" s="3">
        <f>IF(AND(N462&lt;&gt;"", O462&lt;&gt;""), 1, "")</f>
        <v>0</v>
      </c>
    </row>
    <row r="463" spans="1:17">
      <c r="A463">
        <v>462</v>
      </c>
      <c r="B463" t="s">
        <v>40</v>
      </c>
      <c r="C463" t="s">
        <v>64</v>
      </c>
      <c r="D463" t="s">
        <v>65</v>
      </c>
      <c r="F463" t="s">
        <v>381</v>
      </c>
      <c r="G463" t="s">
        <v>392</v>
      </c>
      <c r="H463" t="s">
        <v>407</v>
      </c>
      <c r="I463" t="s">
        <v>708</v>
      </c>
      <c r="N463" s="3">
        <f>IF(NOT(ISNUMBER(P463)), "", COUNTIFS(P$2:P$999, "&gt;"&amp;P463, B$2:B$999, "SIMULATED EMERGENCY RESPONSE COMPETITION")+1)</f>
        <v>0</v>
      </c>
      <c r="O463" s="3">
        <f>IF(NOT(ISNUMBER(P463)), "", COUNTIFS(P$2:P$999, "&gt;"&amp;P463, B$2:B$999, "SIMULATED EMERGENCY RESPONSE COMPETITION")+1)</f>
        <v>0</v>
      </c>
      <c r="Q463" s="3">
        <f>IF(AND(N463&lt;&gt;"", O463&lt;&gt;""), 1, "")</f>
        <v>0</v>
      </c>
    </row>
    <row r="464" spans="1:17">
      <c r="A464">
        <v>463</v>
      </c>
      <c r="B464" t="s">
        <v>40</v>
      </c>
      <c r="C464" t="s">
        <v>64</v>
      </c>
      <c r="D464" t="s">
        <v>65</v>
      </c>
      <c r="F464" t="s">
        <v>382</v>
      </c>
      <c r="G464" t="s">
        <v>394</v>
      </c>
      <c r="H464" t="s">
        <v>407</v>
      </c>
      <c r="I464" t="s">
        <v>709</v>
      </c>
      <c r="N464" s="3">
        <f>IF(NOT(ISNUMBER(P464)), "", COUNTIFS(P$2:P$999, "&gt;"&amp;P464, B$2:B$999, "SIMULATED EMERGENCY RESPONSE COMPETITION")+1)</f>
        <v>0</v>
      </c>
      <c r="O464" s="3">
        <f>IF(NOT(ISNUMBER(P464)), "", COUNTIFS(P$2:P$999, "&gt;"&amp;P464, B$2:B$999, "SIMULATED EMERGENCY RESPONSE COMPETITION")+1)</f>
        <v>0</v>
      </c>
      <c r="Q464" s="3">
        <f>IF(AND(N464&lt;&gt;"", O464&lt;&gt;""), 1, "")</f>
        <v>0</v>
      </c>
    </row>
    <row r="465" spans="1:17">
      <c r="A465">
        <v>464</v>
      </c>
      <c r="B465" t="s">
        <v>40</v>
      </c>
      <c r="C465" t="s">
        <v>64</v>
      </c>
      <c r="D465" t="s">
        <v>65</v>
      </c>
      <c r="F465" t="s">
        <v>383</v>
      </c>
      <c r="G465" t="s">
        <v>399</v>
      </c>
      <c r="H465" t="s">
        <v>407</v>
      </c>
      <c r="I465" t="s">
        <v>710</v>
      </c>
      <c r="N465" s="3">
        <f>IF(NOT(ISNUMBER(P465)), "", COUNTIFS(P$2:P$999, "&gt;"&amp;P465, B$2:B$999, "SIMULATED EMERGENCY RESPONSE COMPETITION")+1)</f>
        <v>0</v>
      </c>
      <c r="O465" s="3">
        <f>IF(NOT(ISNUMBER(P465)), "", COUNTIFS(P$2:P$999, "&gt;"&amp;P465, B$2:B$999, "SIMULATED EMERGENCY RESPONSE COMPETITION")+1)</f>
        <v>0</v>
      </c>
      <c r="Q465" s="3">
        <f>IF(AND(N465&lt;&gt;"", O465&lt;&gt;""), 1, "")</f>
        <v>0</v>
      </c>
    </row>
    <row r="466" spans="1:17">
      <c r="A466">
        <v>465</v>
      </c>
      <c r="B466" t="s">
        <v>40</v>
      </c>
      <c r="C466" t="s">
        <v>64</v>
      </c>
      <c r="D466" t="s">
        <v>65</v>
      </c>
      <c r="F466" t="s">
        <v>384</v>
      </c>
      <c r="G466" t="s">
        <v>395</v>
      </c>
      <c r="H466" t="s">
        <v>407</v>
      </c>
      <c r="I466" t="s">
        <v>711</v>
      </c>
      <c r="N466" s="3">
        <f>IF(NOT(ISNUMBER(P466)), "", COUNTIFS(P$2:P$999, "&gt;"&amp;P466, B$2:B$999, "SIMULATED EMERGENCY RESPONSE COMPETITION")+1)</f>
        <v>0</v>
      </c>
      <c r="O466" s="3">
        <f>IF(NOT(ISNUMBER(P466)), "", COUNTIFS(P$2:P$999, "&gt;"&amp;P466, B$2:B$999, "SIMULATED EMERGENCY RESPONSE COMPETITION")+1)</f>
        <v>0</v>
      </c>
      <c r="Q466" s="3">
        <f>IF(AND(N466&lt;&gt;"", O466&lt;&gt;""), 1, "")</f>
        <v>0</v>
      </c>
    </row>
    <row r="467" spans="1:17">
      <c r="A467">
        <v>466</v>
      </c>
      <c r="B467" t="s">
        <v>40</v>
      </c>
      <c r="C467" t="s">
        <v>64</v>
      </c>
      <c r="D467" t="s">
        <v>65</v>
      </c>
      <c r="F467" t="s">
        <v>385</v>
      </c>
      <c r="G467" t="s">
        <v>401</v>
      </c>
      <c r="H467" t="s">
        <v>407</v>
      </c>
      <c r="I467" t="s">
        <v>712</v>
      </c>
      <c r="N467" s="3">
        <f>IF(NOT(ISNUMBER(P467)), "", COUNTIFS(P$2:P$999, "&gt;"&amp;P467, B$2:B$999, "SIMULATED EMERGENCY RESPONSE COMPETITION")+1)</f>
        <v>0</v>
      </c>
      <c r="O467" s="3">
        <f>IF(NOT(ISNUMBER(P467)), "", COUNTIFS(P$2:P$999, "&gt;"&amp;P467, B$2:B$999, "SIMULATED EMERGENCY RESPONSE COMPETITION")+1)</f>
        <v>0</v>
      </c>
      <c r="Q467" s="3">
        <f>IF(AND(N467&lt;&gt;"", O467&lt;&gt;""), 1, "")</f>
        <v>0</v>
      </c>
    </row>
    <row r="468" spans="1:17">
      <c r="A468">
        <v>467</v>
      </c>
      <c r="B468" t="s">
        <v>40</v>
      </c>
      <c r="C468" t="s">
        <v>64</v>
      </c>
      <c r="D468" t="s">
        <v>65</v>
      </c>
      <c r="F468" t="s">
        <v>386</v>
      </c>
      <c r="G468" t="s">
        <v>398</v>
      </c>
      <c r="H468" t="s">
        <v>407</v>
      </c>
      <c r="I468" t="s">
        <v>713</v>
      </c>
      <c r="N468" s="3">
        <f>IF(NOT(ISNUMBER(P468)), "", COUNTIFS(P$2:P$999, "&gt;"&amp;P468, B$2:B$999, "SIMULATED EMERGENCY RESPONSE COMPETITION")+1)</f>
        <v>0</v>
      </c>
      <c r="O468" s="3">
        <f>IF(NOT(ISNUMBER(P468)), "", COUNTIFS(P$2:P$999, "&gt;"&amp;P468, B$2:B$999, "SIMULATED EMERGENCY RESPONSE COMPETITION")+1)</f>
        <v>0</v>
      </c>
      <c r="Q468" s="3">
        <f>IF(AND(N468&lt;&gt;"", O468&lt;&gt;""), 1, "")</f>
        <v>0</v>
      </c>
    </row>
    <row r="469" spans="1:17">
      <c r="A469">
        <v>468</v>
      </c>
      <c r="B469" t="s">
        <v>40</v>
      </c>
      <c r="C469" t="s">
        <v>64</v>
      </c>
      <c r="D469" t="s">
        <v>65</v>
      </c>
      <c r="F469" t="s">
        <v>387</v>
      </c>
      <c r="G469" t="s">
        <v>396</v>
      </c>
      <c r="H469" t="s">
        <v>407</v>
      </c>
      <c r="I469" t="s">
        <v>714</v>
      </c>
      <c r="N469" s="3">
        <f>IF(NOT(ISNUMBER(P469)), "", COUNTIFS(P$2:P$999, "&gt;"&amp;P469, B$2:B$999, "SIMULATED EMERGENCY RESPONSE COMPETITION")+1)</f>
        <v>0</v>
      </c>
      <c r="O469" s="3">
        <f>IF(NOT(ISNUMBER(P469)), "", COUNTIFS(P$2:P$999, "&gt;"&amp;P469, B$2:B$999, "SIMULATED EMERGENCY RESPONSE COMPETITION")+1)</f>
        <v>0</v>
      </c>
      <c r="Q469" s="3">
        <f>IF(AND(N469&lt;&gt;"", O469&lt;&gt;""), 1, "")</f>
        <v>0</v>
      </c>
    </row>
    <row r="470" spans="1:17">
      <c r="A470">
        <v>469</v>
      </c>
      <c r="B470" t="s">
        <v>40</v>
      </c>
      <c r="C470" t="s">
        <v>64</v>
      </c>
      <c r="D470" t="s">
        <v>65</v>
      </c>
      <c r="F470" t="s">
        <v>388</v>
      </c>
      <c r="G470" t="s">
        <v>402</v>
      </c>
      <c r="H470" t="s">
        <v>407</v>
      </c>
      <c r="I470" t="s">
        <v>715</v>
      </c>
      <c r="N470" s="3">
        <f>IF(NOT(ISNUMBER(P470)), "", COUNTIFS(P$2:P$999, "&gt;"&amp;P470, B$2:B$999, "SIMULATED EMERGENCY RESPONSE COMPETITION")+1)</f>
        <v>0</v>
      </c>
      <c r="O470" s="3">
        <f>IF(NOT(ISNUMBER(P470)), "", COUNTIFS(P$2:P$999, "&gt;"&amp;P470, B$2:B$999, "SIMULATED EMERGENCY RESPONSE COMPETITION")+1)</f>
        <v>0</v>
      </c>
      <c r="Q470" s="3">
        <f>IF(AND(N470&lt;&gt;"", O470&lt;&gt;""), 1, "")</f>
        <v>0</v>
      </c>
    </row>
    <row r="471" spans="1:17">
      <c r="A471">
        <v>470</v>
      </c>
      <c r="B471" t="s">
        <v>40</v>
      </c>
      <c r="C471" t="s">
        <v>64</v>
      </c>
      <c r="D471" t="s">
        <v>65</v>
      </c>
      <c r="F471" t="s">
        <v>389</v>
      </c>
      <c r="G471" t="s">
        <v>397</v>
      </c>
      <c r="H471" t="s">
        <v>407</v>
      </c>
      <c r="I471" t="s">
        <v>716</v>
      </c>
      <c r="N471" s="3">
        <f>IF(NOT(ISNUMBER(P471)), "", COUNTIFS(P$2:P$999, "&gt;"&amp;P471, B$2:B$999, "SIMULATED EMERGENCY RESPONSE COMPETITION")+1)</f>
        <v>0</v>
      </c>
      <c r="O471" s="3">
        <f>IF(NOT(ISNUMBER(P471)), "", COUNTIFS(P$2:P$999, "&gt;"&amp;P471, B$2:B$999, "SIMULATED EMERGENCY RESPONSE COMPETITION")+1)</f>
        <v>0</v>
      </c>
      <c r="Q471" s="3">
        <f>IF(AND(N471&lt;&gt;"", O471&lt;&gt;""), 1, "")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Event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2026-01-14T08:30:19Z</dcterms:created>
  <dcterms:modified xsi:type="dcterms:W3CDTF">2026-01-14T08:30:19Z</dcterms:modified>
</cp:coreProperties>
</file>